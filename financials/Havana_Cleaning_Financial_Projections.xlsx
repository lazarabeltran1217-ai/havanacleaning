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tartup Costs" sheetId="2" state="visible" r:id="rId2"/>
    <sheet name="Monthly Supply Costs" sheetId="3" state="visible" r:id="rId3"/>
    <sheet name="Employee Projections" sheetId="4" state="visible" r:id="rId4"/>
    <sheet name="Revenue Projections" sheetId="5" state="visible" r:id="rId5"/>
    <sheet name="Operating Expenses" sheetId="6" state="visible" r:id="rId6"/>
    <sheet name="Profit &amp; Loss" sheetId="7" state="visible" r:id="rId7"/>
    <sheet name="Cash Flow" sheetId="8" state="visible" r:id="rId8"/>
    <sheet name="Break-Even Analysis" sheetId="9" state="visible" r:id="rId9"/>
    <sheet name="3-Year Summary" sheetId="10" state="visible" r:id="rId10"/>
    <sheet name="Equipment Checklist" sheetId="11" state="visible" r:id="rId11"/>
    <sheet name="KPI 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i val="1"/>
      <color rgb="002E8B57"/>
      <sz val="10"/>
    </font>
    <font>
      <name val="Calibri"/>
      <b val="1"/>
      <color rgb="001B4D3E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E8B57"/>
      <sz val="13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FFF8DC"/>
        <bgColor rgb="00FFF8DC"/>
      </patternFill>
    </fill>
    <fill>
      <patternFill patternType="solid">
        <fgColor rgb="00FFFFCC"/>
        <bgColor rgb="00FFFFCC"/>
      </patternFill>
    </fill>
    <fill>
      <patternFill patternType="solid">
        <fgColor rgb="00F5F5F5"/>
        <bgColor rgb="00F5F5F5"/>
      </patternFill>
    </fill>
    <fill>
      <patternFill patternType="solid">
        <fgColor rgb="001B4D3E"/>
        <bgColor rgb="001B4D3E"/>
      </patternFill>
    </fill>
    <fill>
      <patternFill patternType="solid">
        <fgColor rgb="002E8B57"/>
        <bgColor rgb="002E8B5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3" fontId="0" fillId="0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D3E"/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</cols>
  <sheetData>
    <row r="1">
      <c r="A1" s="1" t="inlineStr">
        <is>
          <t>HAVANA CLEANING — EDITABLE INPUTS</t>
        </is>
      </c>
    </row>
    <row r="2">
      <c r="A2" s="2" t="inlineStr">
        <is>
          <t>Yellow cells are editable — all other sheets calculate from these values.</t>
        </is>
      </c>
    </row>
    <row r="4">
      <c r="A4" s="3" t="inlineStr">
        <is>
          <t>SERVICE PRICING</t>
        </is>
      </c>
      <c r="B4" s="3" t="n"/>
      <c r="C4" s="3" t="n"/>
    </row>
    <row r="5">
      <c r="A5" s="4" t="inlineStr">
        <is>
          <t>Residential Cleaning</t>
        </is>
      </c>
      <c r="B5" s="5" t="n">
        <v>120</v>
      </c>
      <c r="C5" s="4" t="inlineStr">
        <is>
          <t>Base price (2-bed/1-bath)</t>
        </is>
      </c>
    </row>
    <row r="6">
      <c r="A6" s="6" t="inlineStr">
        <is>
          <t>Deep Clean</t>
        </is>
      </c>
      <c r="B6" s="5" t="n">
        <v>220</v>
      </c>
      <c r="C6" s="6" t="inlineStr">
        <is>
          <t>Full deep clean</t>
        </is>
      </c>
    </row>
    <row r="7">
      <c r="A7" s="4" t="inlineStr">
        <is>
          <t>Move-In/Move-Out</t>
        </is>
      </c>
      <c r="B7" s="5" t="n">
        <v>280</v>
      </c>
      <c r="C7" s="4" t="inlineStr">
        <is>
          <t>Complete move clean</t>
        </is>
      </c>
    </row>
    <row r="8">
      <c r="A8" s="6" t="inlineStr">
        <is>
          <t>Post-Construction</t>
        </is>
      </c>
      <c r="B8" s="5" t="n">
        <v>350</v>
      </c>
      <c r="C8" s="6" t="inlineStr">
        <is>
          <t>Debris &amp; dust removal</t>
        </is>
      </c>
    </row>
    <row r="9">
      <c r="A9" s="4" t="inlineStr">
        <is>
          <t>Airbnb Turnover</t>
        </is>
      </c>
      <c r="B9" s="5" t="n">
        <v>150</v>
      </c>
      <c r="C9" s="4" t="inlineStr">
        <is>
          <t>Quick turnaround</t>
        </is>
      </c>
    </row>
    <row r="10">
      <c r="A10" s="6" t="inlineStr">
        <is>
          <t>Green Clean</t>
        </is>
      </c>
      <c r="B10" s="5" t="n">
        <v>140</v>
      </c>
      <c r="C10" s="6" t="inlineStr">
        <is>
          <t>Eco-friendly products</t>
        </is>
      </c>
    </row>
    <row r="11">
      <c r="A11" s="4" t="inlineStr">
        <is>
          <t>Recurring Plans</t>
        </is>
      </c>
      <c r="B11" s="5" t="n">
        <v>100</v>
      </c>
      <c r="C11" s="4" t="inlineStr">
        <is>
          <t>Discounted recurring</t>
        </is>
      </c>
    </row>
    <row r="12">
      <c r="A12" s="6" t="inlineStr">
        <is>
          <t>Commercial (Monthly Contract)</t>
        </is>
      </c>
      <c r="B12" s="5" t="n">
        <v>2500</v>
      </c>
      <c r="C12" s="6" t="inlineStr">
        <is>
          <t>Custom quote average</t>
        </is>
      </c>
    </row>
    <row r="13">
      <c r="A13" s="4" t="inlineStr">
        <is>
          <t>Avg Add-On Price</t>
        </is>
      </c>
      <c r="B13" s="5" t="n">
        <v>35</v>
      </c>
      <c r="C13" s="4" t="inlineStr">
        <is>
          <t>Per add-on service</t>
        </is>
      </c>
    </row>
    <row r="14">
      <c r="A14" s="6" t="inlineStr">
        <is>
          <t>Add-On Attach Rate</t>
        </is>
      </c>
      <c r="B14" s="7" t="n">
        <v>0.4</v>
      </c>
      <c r="C14" s="6" t="inlineStr">
        <is>
          <t>% of non-commercial jobs</t>
        </is>
      </c>
    </row>
    <row r="16">
      <c r="A16" s="3" t="inlineStr">
        <is>
          <t>LABOR RATES &amp; HOURS</t>
        </is>
      </c>
      <c r="B16" s="3" t="n"/>
      <c r="C16" s="3" t="n"/>
    </row>
    <row r="17">
      <c r="A17" s="4" t="inlineStr">
        <is>
          <t>Entry-Level Cleaner ($/hr)</t>
        </is>
      </c>
      <c r="B17" s="5" t="n">
        <v>20</v>
      </c>
      <c r="C17" s="4" t="inlineStr">
        <is>
          <t>Starting rate</t>
        </is>
      </c>
    </row>
    <row r="18">
      <c r="A18" s="6" t="inlineStr">
        <is>
          <t>Senior Cleaner ($/hr)</t>
        </is>
      </c>
      <c r="B18" s="5" t="n">
        <v>25</v>
      </c>
      <c r="C18" s="6" t="inlineStr">
        <is>
          <t>2+ years experience</t>
        </is>
      </c>
    </row>
    <row r="19">
      <c r="A19" s="4" t="inlineStr">
        <is>
          <t>Team Lead ($/hr)</t>
        </is>
      </c>
      <c r="B19" s="5" t="n">
        <v>28</v>
      </c>
      <c r="C19" s="4" t="inlineStr">
        <is>
          <t>Supervisory role</t>
        </is>
      </c>
    </row>
    <row r="20">
      <c r="A20" s="6" t="inlineStr">
        <is>
          <t>Part-Time Admin ($/hr)</t>
        </is>
      </c>
      <c r="B20" s="5" t="n">
        <v>18</v>
      </c>
      <c r="C20" s="6" t="inlineStr">
        <is>
          <t>Scheduling &amp; phones</t>
        </is>
      </c>
    </row>
    <row r="21">
      <c r="A21" s="4" t="inlineStr">
        <is>
          <t>Part-Time Bookkeeper ($/hr)</t>
        </is>
      </c>
      <c r="B21" s="5" t="n">
        <v>22</v>
      </c>
      <c r="C21" s="4" t="inlineStr">
        <is>
          <t>Accounting support</t>
        </is>
      </c>
    </row>
    <row r="22">
      <c r="A22" s="6" t="inlineStr">
        <is>
          <t>Cleaner Hours/Month</t>
        </is>
      </c>
      <c r="B22" s="8" t="n">
        <v>156</v>
      </c>
      <c r="C22" s="6" t="inlineStr">
        <is>
          <t>26 days x 6 productive hrs</t>
        </is>
      </c>
    </row>
    <row r="23">
      <c r="A23" s="4" t="inlineStr">
        <is>
          <t>Admin Hours/Month</t>
        </is>
      </c>
      <c r="B23" s="8" t="n">
        <v>80</v>
      </c>
      <c r="C23" s="4" t="inlineStr">
        <is>
          <t>Part-time ~20 hrs/week</t>
        </is>
      </c>
    </row>
    <row r="24">
      <c r="A24" s="6" t="inlineStr">
        <is>
          <t>Bookkeeper Hours/Month</t>
        </is>
      </c>
      <c r="B24" s="8" t="n">
        <v>40</v>
      </c>
      <c r="C24" s="6" t="inlineStr">
        <is>
          <t>Part-time ~10 hrs/week</t>
        </is>
      </c>
    </row>
    <row r="25">
      <c r="A25" s="4" t="inlineStr">
        <is>
          <t>Working Days/Month</t>
        </is>
      </c>
      <c r="B25" s="8" t="n">
        <v>26</v>
      </c>
      <c r="C25" s="4" t="inlineStr">
        <is>
          <t>Mon-Sat</t>
        </is>
      </c>
    </row>
    <row r="26">
      <c r="A26" s="6" t="inlineStr">
        <is>
          <t>Owner Draw Year 1</t>
        </is>
      </c>
      <c r="B26" s="5" t="n">
        <v>0</v>
      </c>
      <c r="C26" s="6" t="inlineStr">
        <is>
          <t>Reinvesting Year 1</t>
        </is>
      </c>
    </row>
    <row r="27">
      <c r="A27" s="4" t="inlineStr">
        <is>
          <t>Owner Draw Year 2</t>
        </is>
      </c>
      <c r="B27" s="5" t="n">
        <v>45000</v>
      </c>
      <c r="C27" s="4" t="inlineStr">
        <is>
          <t>Annual</t>
        </is>
      </c>
    </row>
    <row r="28">
      <c r="A28" s="6" t="inlineStr">
        <is>
          <t>Owner Draw Year 3</t>
        </is>
      </c>
      <c r="B28" s="5" t="n">
        <v>60000</v>
      </c>
      <c r="C28" s="6" t="inlineStr">
        <is>
          <t>Annual</t>
        </is>
      </c>
    </row>
    <row r="30">
      <c r="A30" s="3" t="inlineStr">
        <is>
          <t>PAYROLL BURDEN</t>
        </is>
      </c>
      <c r="B30" s="3" t="n"/>
      <c r="C30" s="3" t="n"/>
    </row>
    <row r="31">
      <c r="A31" s="4" t="inlineStr">
        <is>
          <t>Payroll Tax Rate (FICA)</t>
        </is>
      </c>
      <c r="B31" s="7" t="n">
        <v>0.0765</v>
      </c>
      <c r="C31" s="4" t="inlineStr">
        <is>
          <t>Social Security + Medicare</t>
        </is>
      </c>
    </row>
    <row r="32">
      <c r="A32" s="6" t="inlineStr">
        <is>
          <t>Workers Comp Rate</t>
        </is>
      </c>
      <c r="B32" s="7" t="n">
        <v>0.045</v>
      </c>
      <c r="C32" s="6" t="inlineStr">
        <is>
          <t>FL cleaning industry avg</t>
        </is>
      </c>
    </row>
    <row r="33">
      <c r="A33" s="4" t="inlineStr">
        <is>
          <t>Benefits per FT Employee/Mo</t>
        </is>
      </c>
      <c r="B33" s="5" t="n">
        <v>200</v>
      </c>
      <c r="C33" s="4" t="inlineStr">
        <is>
          <t>Basic health stipend</t>
        </is>
      </c>
    </row>
    <row r="35">
      <c r="A35" s="3" t="inlineStr">
        <is>
          <t>VEHICLE &amp; OPERATIONS</t>
        </is>
      </c>
      <c r="B35" s="3" t="n"/>
      <c r="C35" s="3" t="n"/>
    </row>
    <row r="36">
      <c r="A36" s="6" t="inlineStr">
        <is>
          <t>Gas Cost per Day per Vehicle</t>
        </is>
      </c>
      <c r="B36" s="5" t="n">
        <v>25</v>
      </c>
      <c r="C36" s="6" t="inlineStr">
        <is>
          <t>Avg 60 miles/day</t>
        </is>
      </c>
    </row>
    <row r="37">
      <c r="A37" s="4" t="inlineStr">
        <is>
          <t>Vehicle Insurance/Month</t>
        </is>
      </c>
      <c r="B37" s="5" t="n">
        <v>300</v>
      </c>
      <c r="C37" s="4" t="inlineStr">
        <is>
          <t>Per vehicle</t>
        </is>
      </c>
    </row>
    <row r="38">
      <c r="A38" s="6" t="inlineStr">
        <is>
          <t>Vehicle Maintenance/Month</t>
        </is>
      </c>
      <c r="B38" s="5" t="n">
        <v>150</v>
      </c>
      <c r="C38" s="6" t="inlineStr">
        <is>
          <t>Per vehicle</t>
        </is>
      </c>
    </row>
    <row r="39">
      <c r="A39" s="4" t="inlineStr">
        <is>
          <t>Vehicle Parking &amp; Tolls/Month</t>
        </is>
      </c>
      <c r="B39" s="5" t="n">
        <v>50</v>
      </c>
      <c r="C39" s="4" t="inlineStr">
        <is>
          <t>Per vehicle</t>
        </is>
      </c>
    </row>
    <row r="40">
      <c r="A40" s="6" t="inlineStr">
        <is>
          <t>Vehicles Year 1 (end)</t>
        </is>
      </c>
      <c r="B40" s="8" t="n">
        <v>1</v>
      </c>
      <c r="C40" s="6" t="inlineStr"/>
    </row>
    <row r="41">
      <c r="A41" s="4" t="inlineStr">
        <is>
          <t>Vehicles Year 2</t>
        </is>
      </c>
      <c r="B41" s="8" t="n">
        <v>2</v>
      </c>
      <c r="C41" s="4" t="inlineStr"/>
    </row>
    <row r="42">
      <c r="A42" s="6" t="inlineStr">
        <is>
          <t>Vehicles Year 3</t>
        </is>
      </c>
      <c r="B42" s="8" t="n">
        <v>3</v>
      </c>
      <c r="C42" s="6" t="inlineStr"/>
    </row>
    <row r="43">
      <c r="A43" s="4" t="inlineStr">
        <is>
          <t>Supply Cost per Std Job</t>
        </is>
      </c>
      <c r="B43" s="5" t="n">
        <v>8.5</v>
      </c>
      <c r="C43" s="4" t="inlineStr">
        <is>
          <t>Consumable supplies</t>
        </is>
      </c>
    </row>
    <row r="44">
      <c r="A44" s="6" t="inlineStr">
        <is>
          <t>Supply Cost per Deep Job</t>
        </is>
      </c>
      <c r="B44" s="5" t="n">
        <v>14</v>
      </c>
      <c r="C44" s="6" t="inlineStr">
        <is>
          <t>More product usage</t>
        </is>
      </c>
    </row>
    <row r="45">
      <c r="A45" s="4" t="inlineStr">
        <is>
          <t>Florida Sales Tax</t>
        </is>
      </c>
      <c r="B45" s="7" t="n">
        <v>0.07000000000000001</v>
      </c>
      <c r="C45" s="4" t="inlineStr">
        <is>
          <t>Collected on services</t>
        </is>
      </c>
    </row>
    <row r="47">
      <c r="A47" s="3" t="inlineStr">
        <is>
          <t>INSURANCE &amp; LICENSING (Monthly)</t>
        </is>
      </c>
      <c r="B47" s="3" t="n"/>
      <c r="C47" s="3" t="n"/>
    </row>
    <row r="48">
      <c r="A48" s="6" t="inlineStr">
        <is>
          <t>General Liability Insurance/Mo</t>
        </is>
      </c>
      <c r="B48" s="5" t="n">
        <v>200</v>
      </c>
      <c r="C48" s="6" t="inlineStr">
        <is>
          <t>Annual $2,400</t>
        </is>
      </c>
    </row>
    <row r="49">
      <c r="A49" s="4" t="inlineStr">
        <is>
          <t>Workers Comp Insurance/Mo</t>
        </is>
      </c>
      <c r="B49" s="5" t="n">
        <v>267</v>
      </c>
      <c r="C49" s="4" t="inlineStr">
        <is>
          <t>Annual $3,200</t>
        </is>
      </c>
    </row>
    <row r="50">
      <c r="A50" s="6" t="inlineStr">
        <is>
          <t>Surety Bond/Mo</t>
        </is>
      </c>
      <c r="B50" s="5" t="n">
        <v>42</v>
      </c>
      <c r="C50" s="6" t="inlineStr">
        <is>
          <t>Annual $500</t>
        </is>
      </c>
    </row>
    <row r="52">
      <c r="A52" s="3" t="inlineStr">
        <is>
          <t>TECHNOLOGY &amp; SOFTWARE (Monthly)</t>
        </is>
      </c>
      <c r="B52" s="3" t="n"/>
      <c r="C52" s="3" t="n"/>
    </row>
    <row r="53">
      <c r="A53" s="4" t="inlineStr">
        <is>
          <t>Website Hosting &amp; Domain</t>
        </is>
      </c>
      <c r="B53" s="5" t="n">
        <v>17</v>
      </c>
      <c r="C53" s="4" t="inlineStr"/>
    </row>
    <row r="54">
      <c r="A54" s="6" t="inlineStr">
        <is>
          <t>Scheduling/CRM Software</t>
        </is>
      </c>
      <c r="B54" s="5" t="n">
        <v>50</v>
      </c>
      <c r="C54" s="6" t="inlineStr"/>
    </row>
    <row r="55">
      <c r="A55" s="4" t="inlineStr">
        <is>
          <t>QuickBooks Online</t>
        </is>
      </c>
      <c r="B55" s="5" t="n">
        <v>45</v>
      </c>
      <c r="C55" s="4" t="inlineStr"/>
    </row>
    <row r="56">
      <c r="A56" s="6" t="inlineStr">
        <is>
          <t>Business Phone (VoIP)</t>
        </is>
      </c>
      <c r="B56" s="5" t="n">
        <v>35</v>
      </c>
      <c r="C56" s="6" t="inlineStr"/>
    </row>
    <row r="57">
      <c r="A57" s="4" t="inlineStr">
        <is>
          <t>Internet (home office)</t>
        </is>
      </c>
      <c r="B57" s="5" t="n">
        <v>60</v>
      </c>
      <c r="C57" s="4" t="inlineStr"/>
    </row>
    <row r="58">
      <c r="A58" s="6" t="inlineStr">
        <is>
          <t>Cell Phone Plans</t>
        </is>
      </c>
      <c r="B58" s="5" t="n">
        <v>85</v>
      </c>
      <c r="C58" s="6" t="inlineStr"/>
    </row>
    <row r="59">
      <c r="A59" s="4" t="inlineStr">
        <is>
          <t>Stripe Fee Rate</t>
        </is>
      </c>
      <c r="B59" s="7" t="n">
        <v>0.029</v>
      </c>
      <c r="C59" s="4" t="inlineStr">
        <is>
          <t>2.9% per transaction</t>
        </is>
      </c>
    </row>
    <row r="60">
      <c r="A60" s="6" t="inlineStr">
        <is>
          <t>Stripe Fee per Transaction</t>
        </is>
      </c>
      <c r="B60" s="5" t="n">
        <v>0.3</v>
      </c>
      <c r="C60" s="6" t="inlineStr">
        <is>
          <t>$0.30 per charge</t>
        </is>
      </c>
    </row>
    <row r="62">
      <c r="A62" s="3" t="inlineStr">
        <is>
          <t>OFFICE &amp; ADMIN (Monthly)</t>
        </is>
      </c>
      <c r="B62" s="3" t="n"/>
      <c r="C62" s="3" t="n"/>
    </row>
    <row r="63">
      <c r="A63" s="4" t="inlineStr">
        <is>
          <t>Office Supplies</t>
        </is>
      </c>
      <c r="B63" s="5" t="n">
        <v>50</v>
      </c>
      <c r="C63" s="4" t="inlineStr"/>
    </row>
    <row r="64">
      <c r="A64" s="6" t="inlineStr">
        <is>
          <t>Storage Unit Rental</t>
        </is>
      </c>
      <c r="B64" s="5" t="n">
        <v>120</v>
      </c>
      <c r="C64" s="6" t="inlineStr"/>
    </row>
    <row r="65">
      <c r="A65" s="4" t="inlineStr">
        <is>
          <t>Accounting/Bookkeeping Svc</t>
        </is>
      </c>
      <c r="B65" s="5" t="n">
        <v>200</v>
      </c>
      <c r="C65" s="4" t="inlineStr"/>
    </row>
    <row r="66">
      <c r="A66" s="6" t="inlineStr">
        <is>
          <t>Postage &amp; Shipping</t>
        </is>
      </c>
      <c r="B66" s="5" t="n">
        <v>15</v>
      </c>
      <c r="C66" s="6" t="inlineStr"/>
    </row>
    <row r="68">
      <c r="A68" s="3" t="inlineStr">
        <is>
          <t>GROWTH ASSUMPTIONS</t>
        </is>
      </c>
      <c r="B68" s="3" t="n"/>
      <c r="C68" s="3" t="n"/>
    </row>
    <row r="69">
      <c r="A69" s="4" t="inlineStr">
        <is>
          <t>Year 2 Revenue Growth</t>
        </is>
      </c>
      <c r="B69" s="7" t="n">
        <v>1</v>
      </c>
      <c r="C69" s="4" t="inlineStr">
        <is>
          <t>100% = double Year 1</t>
        </is>
      </c>
    </row>
    <row r="70">
      <c r="A70" s="6" t="inlineStr">
        <is>
          <t>Year 3 Revenue Growth</t>
        </is>
      </c>
      <c r="B70" s="7" t="n">
        <v>0.55</v>
      </c>
      <c r="C70" s="6" t="inlineStr">
        <is>
          <t>55% over Year 2</t>
        </is>
      </c>
    </row>
    <row r="71">
      <c r="A71" s="4" t="inlineStr">
        <is>
          <t>Cash Collection Rate (same month)</t>
        </is>
      </c>
      <c r="B71" s="7" t="n">
        <v>0.85</v>
      </c>
      <c r="C71" s="4" t="inlineStr">
        <is>
          <t>% collected in service month</t>
        </is>
      </c>
    </row>
    <row r="72">
      <c r="A72" s="6" t="inlineStr">
        <is>
          <t>Prior Month Collection</t>
        </is>
      </c>
      <c r="B72" s="7" t="n">
        <v>0.1</v>
      </c>
      <c r="C72" s="6" t="inlineStr">
        <is>
          <t>% collected next month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D3E"/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10" customWidth="1" min="3" max="3"/>
    <col width="14" customWidth="1" min="4" max="4"/>
    <col width="16" customWidth="1" min="5" max="5"/>
  </cols>
  <sheetData>
    <row r="1">
      <c r="A1" s="1" t="inlineStr">
        <is>
          <t>HAVANA CLEANING — STARTUP COSTS BREAKDOWN</t>
        </is>
      </c>
    </row>
    <row r="2">
      <c r="A2" s="2" t="inlineStr">
        <is>
          <t>Edit QTY and UNIT COST (yellow) — totals auto-calculate.</t>
        </is>
      </c>
    </row>
    <row r="4">
      <c r="A4" s="9" t="inlineStr">
        <is>
          <t>CATEGORY</t>
        </is>
      </c>
      <c r="B4" s="9" t="inlineStr">
        <is>
          <t>ITEM</t>
        </is>
      </c>
      <c r="C4" s="9" t="inlineStr">
        <is>
          <t>QTY</t>
        </is>
      </c>
      <c r="D4" s="9" t="inlineStr">
        <is>
          <t>UNIT COST</t>
        </is>
      </c>
      <c r="E4" s="9" t="inlineStr">
        <is>
          <t>TOTAL COST</t>
        </is>
      </c>
    </row>
    <row r="5">
      <c r="A5" s="3" t="inlineStr">
        <is>
          <t>CLEANING EQUIPMENT</t>
        </is>
      </c>
      <c r="B5" s="3" t="n"/>
      <c r="C5" s="3" t="n"/>
      <c r="D5" s="3" t="n"/>
      <c r="E5" s="3" t="n"/>
    </row>
    <row r="6">
      <c r="A6" s="6" t="n"/>
      <c r="B6" s="6" t="inlineStr">
        <is>
          <t>Commercial Vacuum Cleaner (Backpack)</t>
        </is>
      </c>
      <c r="C6" s="8" t="n">
        <v>3</v>
      </c>
      <c r="D6" s="5" t="n">
        <v>350</v>
      </c>
      <c r="E6" s="10">
        <f>C6*D6</f>
        <v/>
      </c>
    </row>
    <row r="7">
      <c r="A7" s="4" t="n"/>
      <c r="B7" s="4" t="inlineStr">
        <is>
          <t>Commercial Mop &amp; Bucket System</t>
        </is>
      </c>
      <c r="C7" s="8" t="n">
        <v>3</v>
      </c>
      <c r="D7" s="5" t="n">
        <v>85</v>
      </c>
      <c r="E7" s="11">
        <f>C7*D7</f>
        <v/>
      </c>
    </row>
    <row r="8">
      <c r="A8" s="6" t="n"/>
      <c r="B8" s="6" t="inlineStr">
        <is>
          <t>Microfiber Flat Mop System</t>
        </is>
      </c>
      <c r="C8" s="8" t="n">
        <v>3</v>
      </c>
      <c r="D8" s="5" t="n">
        <v>65</v>
      </c>
      <c r="E8" s="10">
        <f>C8*D8</f>
        <v/>
      </c>
    </row>
    <row r="9">
      <c r="A9" s="4" t="n"/>
      <c r="B9" s="4" t="inlineStr">
        <is>
          <t>Spray Bottles (set of 6)</t>
        </is>
      </c>
      <c r="C9" s="8" t="n">
        <v>4</v>
      </c>
      <c r="D9" s="5" t="n">
        <v>18</v>
      </c>
      <c r="E9" s="11">
        <f>C9*D9</f>
        <v/>
      </c>
    </row>
    <row r="10">
      <c r="A10" s="6" t="n"/>
      <c r="B10" s="6" t="inlineStr">
        <is>
          <t>Telescoping Extension Pole</t>
        </is>
      </c>
      <c r="C10" s="8" t="n">
        <v>3</v>
      </c>
      <c r="D10" s="5" t="n">
        <v>35</v>
      </c>
      <c r="E10" s="10">
        <f>C10*D10</f>
        <v/>
      </c>
    </row>
    <row r="11">
      <c r="A11" s="4" t="n"/>
      <c r="B11" s="4" t="inlineStr">
        <is>
          <t>Scrub Brush Set (multiple sizes)</t>
        </is>
      </c>
      <c r="C11" s="8" t="n">
        <v>4</v>
      </c>
      <c r="D11" s="5" t="n">
        <v>22</v>
      </c>
      <c r="E11" s="11">
        <f>C11*D11</f>
        <v/>
      </c>
    </row>
    <row r="12">
      <c r="A12" s="6" t="n"/>
      <c r="B12" s="6" t="inlineStr">
        <is>
          <t>Squeegee Set (windows)</t>
        </is>
      </c>
      <c r="C12" s="8" t="n">
        <v>3</v>
      </c>
      <c r="D12" s="5" t="n">
        <v>28</v>
      </c>
      <c r="E12" s="10">
        <f>C12*D12</f>
        <v/>
      </c>
    </row>
    <row r="13">
      <c r="A13" s="4" t="n"/>
      <c r="B13" s="4" t="inlineStr">
        <is>
          <t>Dusting Kit (feather duster, microfiber)</t>
        </is>
      </c>
      <c r="C13" s="8" t="n">
        <v>4</v>
      </c>
      <c r="D13" s="5" t="n">
        <v>32</v>
      </c>
      <c r="E13" s="11">
        <f>C13*D13</f>
        <v/>
      </c>
    </row>
    <row r="14">
      <c r="A14" s="6" t="n"/>
      <c r="B14" s="6" t="inlineStr">
        <is>
          <t>Toilet Brush &amp; Caddy Set</t>
        </is>
      </c>
      <c r="C14" s="8" t="n">
        <v>6</v>
      </c>
      <c r="D14" s="5" t="n">
        <v>12</v>
      </c>
      <c r="E14" s="10">
        <f>C14*D14</f>
        <v/>
      </c>
    </row>
    <row r="15">
      <c r="A15" s="4" t="n"/>
      <c r="B15" s="4" t="inlineStr">
        <is>
          <t>Grout Brush Set</t>
        </is>
      </c>
      <c r="C15" s="8" t="n">
        <v>4</v>
      </c>
      <c r="D15" s="5" t="n">
        <v>15</v>
      </c>
      <c r="E15" s="11">
        <f>C15*D15</f>
        <v/>
      </c>
    </row>
    <row r="16">
      <c r="A16" s="6" t="n"/>
      <c r="B16" s="6" t="inlineStr">
        <is>
          <t>Detail Cleaning Brush Kit</t>
        </is>
      </c>
      <c r="C16" s="8" t="n">
        <v>4</v>
      </c>
      <c r="D16" s="5" t="n">
        <v>18</v>
      </c>
      <c r="E16" s="10">
        <f>C16*D16</f>
        <v/>
      </c>
    </row>
    <row r="17">
      <c r="A17" s="4" t="n"/>
      <c r="B17" s="4" t="inlineStr">
        <is>
          <t>Step Ladder (3-step, lightweight)</t>
        </is>
      </c>
      <c r="C17" s="8" t="n">
        <v>2</v>
      </c>
      <c r="D17" s="5" t="n">
        <v>75</v>
      </c>
      <c r="E17" s="11">
        <f>C17*D17</f>
        <v/>
      </c>
    </row>
    <row r="18">
      <c r="A18" s="6" t="n"/>
      <c r="B18" s="6" t="inlineStr">
        <is>
          <t>Caddy/Carrying Tote</t>
        </is>
      </c>
      <c r="C18" s="8" t="n">
        <v>6</v>
      </c>
      <c r="D18" s="5" t="n">
        <v>25</v>
      </c>
      <c r="E18" s="10">
        <f>C18*D18</f>
        <v/>
      </c>
    </row>
    <row r="19">
      <c r="A19" s="4" t="n"/>
      <c r="B19" s="4" t="inlineStr">
        <is>
          <t>Broom &amp; Dustpan Set (commercial grade)</t>
        </is>
      </c>
      <c r="C19" s="8" t="n">
        <v>3</v>
      </c>
      <c r="D19" s="5" t="n">
        <v>35</v>
      </c>
      <c r="E19" s="11">
        <f>C19*D19</f>
        <v/>
      </c>
    </row>
    <row r="20">
      <c r="A20" s="6" t="n"/>
      <c r="B20" s="6" t="inlineStr">
        <is>
          <t>Rubber Gloves (heavy duty, per pair)</t>
        </is>
      </c>
      <c r="C20" s="8" t="n">
        <v>24</v>
      </c>
      <c r="D20" s="5" t="n">
        <v>8</v>
      </c>
      <c r="E20" s="10">
        <f>C20*D20</f>
        <v/>
      </c>
    </row>
    <row r="21">
      <c r="A21" s="4" t="n"/>
      <c r="B21" s="4" t="inlineStr">
        <is>
          <t>Knee Pads</t>
        </is>
      </c>
      <c r="C21" s="8" t="n">
        <v>6</v>
      </c>
      <c r="D21" s="5" t="n">
        <v>22</v>
      </c>
      <c r="E21" s="11">
        <f>C21*D21</f>
        <v/>
      </c>
    </row>
    <row r="22">
      <c r="A22" s="6" t="n"/>
      <c r="B22" s="6" t="inlineStr">
        <is>
          <t>Trash Grabber/Picker Tool</t>
        </is>
      </c>
      <c r="C22" s="8" t="n">
        <v>3</v>
      </c>
      <c r="D22" s="5" t="n">
        <v>15</v>
      </c>
      <c r="E22" s="10">
        <f>C22*D22</f>
        <v/>
      </c>
    </row>
    <row r="23">
      <c r="A23" s="3" t="inlineStr">
        <is>
          <t>CLEANING SUPPLIES (3-Month Stock)</t>
        </is>
      </c>
      <c r="B23" s="3" t="n"/>
      <c r="C23" s="3" t="n"/>
      <c r="D23" s="3" t="n"/>
      <c r="E23" s="3" t="n"/>
    </row>
    <row r="24">
      <c r="A24" s="6" t="n"/>
      <c r="B24" s="6" t="inlineStr">
        <is>
          <t>All-Purpose Cleaner (gallon concentrate)</t>
        </is>
      </c>
      <c r="C24" s="8" t="n">
        <v>12</v>
      </c>
      <c r="D24" s="5" t="n">
        <v>18</v>
      </c>
      <c r="E24" s="10">
        <f>C24*D24</f>
        <v/>
      </c>
    </row>
    <row r="25">
      <c r="A25" s="4" t="n"/>
      <c r="B25" s="4" t="inlineStr">
        <is>
          <t>Glass Cleaner (gallon concentrate)</t>
        </is>
      </c>
      <c r="C25" s="8" t="n">
        <v>8</v>
      </c>
      <c r="D25" s="5" t="n">
        <v>15</v>
      </c>
      <c r="E25" s="11">
        <f>C25*D25</f>
        <v/>
      </c>
    </row>
    <row r="26">
      <c r="A26" s="6" t="n"/>
      <c r="B26" s="6" t="inlineStr">
        <is>
          <t>Disinfectant Spray (gallon concentrate)</t>
        </is>
      </c>
      <c r="C26" s="8" t="n">
        <v>10</v>
      </c>
      <c r="D26" s="5" t="n">
        <v>22</v>
      </c>
      <c r="E26" s="10">
        <f>C26*D26</f>
        <v/>
      </c>
    </row>
    <row r="27">
      <c r="A27" s="4" t="n"/>
      <c r="B27" s="4" t="inlineStr">
        <is>
          <t>Toilet Bowl Cleaner (bottles)</t>
        </is>
      </c>
      <c r="C27" s="8" t="n">
        <v>24</v>
      </c>
      <c r="D27" s="5" t="n">
        <v>5.75</v>
      </c>
      <c r="E27" s="11">
        <f>C27*D27</f>
        <v/>
      </c>
    </row>
    <row r="28">
      <c r="A28" s="6" t="n"/>
      <c r="B28" s="6" t="inlineStr">
        <is>
          <t>Stainless Steel Cleaner</t>
        </is>
      </c>
      <c r="C28" s="8" t="n">
        <v>8</v>
      </c>
      <c r="D28" s="5" t="n">
        <v>9</v>
      </c>
      <c r="E28" s="10">
        <f>C28*D28</f>
        <v/>
      </c>
    </row>
    <row r="29">
      <c r="A29" s="4" t="n"/>
      <c r="B29" s="4" t="inlineStr">
        <is>
          <t>Wood Floor Cleaner (gallon)</t>
        </is>
      </c>
      <c r="C29" s="8" t="n">
        <v>6</v>
      </c>
      <c r="D29" s="5" t="n">
        <v>14</v>
      </c>
      <c r="E29" s="11">
        <f>C29*D29</f>
        <v/>
      </c>
    </row>
    <row r="30">
      <c r="A30" s="6" t="n"/>
      <c r="B30" s="6" t="inlineStr">
        <is>
          <t>Tile &amp; Grout Cleaner (gallon)</t>
        </is>
      </c>
      <c r="C30" s="8" t="n">
        <v>6</v>
      </c>
      <c r="D30" s="5" t="n">
        <v>16</v>
      </c>
      <c r="E30" s="10">
        <f>C30*D30</f>
        <v/>
      </c>
    </row>
    <row r="31">
      <c r="A31" s="4" t="n"/>
      <c r="B31" s="4" t="inlineStr">
        <is>
          <t>Degreaser (kitchen, gallon)</t>
        </is>
      </c>
      <c r="C31" s="8" t="n">
        <v>6</v>
      </c>
      <c r="D31" s="5" t="n">
        <v>18</v>
      </c>
      <c r="E31" s="11">
        <f>C31*D31</f>
        <v/>
      </c>
    </row>
    <row r="32">
      <c r="A32" s="6" t="n"/>
      <c r="B32" s="6" t="inlineStr">
        <is>
          <t>Microfiber Cloths (packs of 24)</t>
        </is>
      </c>
      <c r="C32" s="8" t="n">
        <v>8</v>
      </c>
      <c r="D32" s="5" t="n">
        <v>22</v>
      </c>
      <c r="E32" s="10">
        <f>C32*D32</f>
        <v/>
      </c>
    </row>
    <row r="33">
      <c r="A33" s="4" t="n"/>
      <c r="B33" s="4" t="inlineStr">
        <is>
          <t>Sponges (packs of 12)</t>
        </is>
      </c>
      <c r="C33" s="8" t="n">
        <v>10</v>
      </c>
      <c r="D33" s="5" t="n">
        <v>8</v>
      </c>
      <c r="E33" s="11">
        <f>C33*D33</f>
        <v/>
      </c>
    </row>
    <row r="34">
      <c r="A34" s="6" t="n"/>
      <c r="B34" s="6" t="inlineStr">
        <is>
          <t>Magic Eraser Pads (packs of 10)</t>
        </is>
      </c>
      <c r="C34" s="8" t="n">
        <v>8</v>
      </c>
      <c r="D34" s="5" t="n">
        <v>12</v>
      </c>
      <c r="E34" s="10">
        <f>C34*D34</f>
        <v/>
      </c>
    </row>
    <row r="35">
      <c r="A35" s="4" t="n"/>
      <c r="B35" s="4" t="inlineStr">
        <is>
          <t>Steel Wool Pads (fine grade, box)</t>
        </is>
      </c>
      <c r="C35" s="8" t="n">
        <v>6</v>
      </c>
      <c r="D35" s="5" t="n">
        <v>7</v>
      </c>
      <c r="E35" s="11">
        <f>C35*D35</f>
        <v/>
      </c>
    </row>
    <row r="36">
      <c r="A36" s="6" t="n"/>
      <c r="B36" s="6" t="inlineStr">
        <is>
          <t>Trash Bags 13-gal (box of 100)</t>
        </is>
      </c>
      <c r="C36" s="8" t="n">
        <v>6</v>
      </c>
      <c r="D36" s="5" t="n">
        <v>18</v>
      </c>
      <c r="E36" s="10">
        <f>C36*D36</f>
        <v/>
      </c>
    </row>
    <row r="37">
      <c r="A37" s="4" t="n"/>
      <c r="B37" s="4" t="inlineStr">
        <is>
          <t>Trash Bags 33-gal (box of 100)</t>
        </is>
      </c>
      <c r="C37" s="8" t="n">
        <v>4</v>
      </c>
      <c r="D37" s="5" t="n">
        <v>22</v>
      </c>
      <c r="E37" s="11">
        <f>C37*D37</f>
        <v/>
      </c>
    </row>
    <row r="38">
      <c r="A38" s="6" t="n"/>
      <c r="B38" s="6" t="inlineStr">
        <is>
          <t>Paper Towels (bulk case of 30 rolls)</t>
        </is>
      </c>
      <c r="C38" s="8" t="n">
        <v>4</v>
      </c>
      <c r="D38" s="5" t="n">
        <v>28</v>
      </c>
      <c r="E38" s="10">
        <f>C38*D38</f>
        <v/>
      </c>
    </row>
    <row r="39">
      <c r="A39" s="4" t="n"/>
      <c r="B39" s="4" t="inlineStr">
        <is>
          <t>Latex/Nitrile Gloves (box of 100)</t>
        </is>
      </c>
      <c r="C39" s="8" t="n">
        <v>12</v>
      </c>
      <c r="D39" s="5" t="n">
        <v>11</v>
      </c>
      <c r="E39" s="11">
        <f>C39*D39</f>
        <v/>
      </c>
    </row>
    <row r="40">
      <c r="A40" s="6" t="n"/>
      <c r="B40" s="6" t="inlineStr">
        <is>
          <t>Shoe Covers (box of 100)</t>
        </is>
      </c>
      <c r="C40" s="8" t="n">
        <v>6</v>
      </c>
      <c r="D40" s="5" t="n">
        <v>15</v>
      </c>
      <c r="E40" s="10">
        <f>C40*D40</f>
        <v/>
      </c>
    </row>
    <row r="41">
      <c r="A41" s="4" t="n"/>
      <c r="B41" s="4" t="inlineStr">
        <is>
          <t>Mop Head Refills (microfiber)</t>
        </is>
      </c>
      <c r="C41" s="8" t="n">
        <v>12</v>
      </c>
      <c r="D41" s="5" t="n">
        <v>7.5</v>
      </c>
      <c r="E41" s="11">
        <f>C41*D41</f>
        <v/>
      </c>
    </row>
    <row r="42">
      <c r="A42" s="6" t="n"/>
      <c r="B42" s="6" t="inlineStr">
        <is>
          <t>Vacuum Bags/Filters (pack)</t>
        </is>
      </c>
      <c r="C42" s="8" t="n">
        <v>6</v>
      </c>
      <c r="D42" s="5" t="n">
        <v>15</v>
      </c>
      <c r="E42" s="10">
        <f>C42*D42</f>
        <v/>
      </c>
    </row>
    <row r="43">
      <c r="A43" s="4" t="n"/>
      <c r="B43" s="4" t="inlineStr">
        <is>
          <t>Air Freshener Spray (bottles)</t>
        </is>
      </c>
      <c r="C43" s="8" t="n">
        <v>12</v>
      </c>
      <c r="D43" s="5" t="n">
        <v>6</v>
      </c>
      <c r="E43" s="11">
        <f>C43*D43</f>
        <v/>
      </c>
    </row>
    <row r="44">
      <c r="A44" s="3" t="inlineStr">
        <is>
          <t>GREEN CLEAN PRODUCT LINE</t>
        </is>
      </c>
      <c r="B44" s="3" t="n"/>
      <c r="C44" s="3" t="n"/>
      <c r="D44" s="3" t="n"/>
      <c r="E44" s="3" t="n"/>
    </row>
    <row r="45">
      <c r="A45" s="4" t="n"/>
      <c r="B45" s="4" t="inlineStr">
        <is>
          <t>Eco-Friendly All-Purpose Cleaner (gallon)</t>
        </is>
      </c>
      <c r="C45" s="8" t="n">
        <v>6</v>
      </c>
      <c r="D45" s="5" t="n">
        <v>24</v>
      </c>
      <c r="E45" s="11">
        <f>C45*D45</f>
        <v/>
      </c>
    </row>
    <row r="46">
      <c r="A46" s="6" t="n"/>
      <c r="B46" s="6" t="inlineStr">
        <is>
          <t>Plant-Based Disinfectant (gallon)</t>
        </is>
      </c>
      <c r="C46" s="8" t="n">
        <v>4</v>
      </c>
      <c r="D46" s="5" t="n">
        <v>28</v>
      </c>
      <c r="E46" s="10">
        <f>C46*D46</f>
        <v/>
      </c>
    </row>
    <row r="47">
      <c r="A47" s="4" t="n"/>
      <c r="B47" s="4" t="inlineStr">
        <is>
          <t>Non-Toxic Glass Cleaner (gallon)</t>
        </is>
      </c>
      <c r="C47" s="8" t="n">
        <v>4</v>
      </c>
      <c r="D47" s="5" t="n">
        <v>20</v>
      </c>
      <c r="E47" s="11">
        <f>C47*D47</f>
        <v/>
      </c>
    </row>
    <row r="48">
      <c r="A48" s="6" t="n"/>
      <c r="B48" s="6" t="inlineStr">
        <is>
          <t>Biodegradable Trash Bags (box of 100)</t>
        </is>
      </c>
      <c r="C48" s="8" t="n">
        <v>4</v>
      </c>
      <c r="D48" s="5" t="n">
        <v>25</v>
      </c>
      <c r="E48" s="10">
        <f>C48*D48</f>
        <v/>
      </c>
    </row>
    <row r="49">
      <c r="A49" s="4" t="n"/>
      <c r="B49" s="4" t="inlineStr">
        <is>
          <t>Natural Sponges (pack of 6)</t>
        </is>
      </c>
      <c r="C49" s="8" t="n">
        <v>6</v>
      </c>
      <c r="D49" s="5" t="n">
        <v>14</v>
      </c>
      <c r="E49" s="11">
        <f>C49*D49</f>
        <v/>
      </c>
    </row>
    <row r="50">
      <c r="A50" s="3" t="inlineStr">
        <is>
          <t>VEHICLES</t>
        </is>
      </c>
      <c r="B50" s="3" t="n"/>
      <c r="C50" s="3" t="n"/>
      <c r="D50" s="3" t="n"/>
      <c r="E50" s="3" t="n"/>
    </row>
    <row r="51">
      <c r="A51" s="4" t="n"/>
      <c r="B51" s="4" t="inlineStr">
        <is>
          <t>Used Cargo Van (2020-2022)</t>
        </is>
      </c>
      <c r="C51" s="8" t="n">
        <v>1</v>
      </c>
      <c r="D51" s="5" t="n">
        <v>22000</v>
      </c>
      <c r="E51" s="11">
        <f>C51*D51</f>
        <v/>
      </c>
    </row>
    <row r="52">
      <c r="A52" s="6" t="n"/>
      <c r="B52" s="6" t="inlineStr">
        <is>
          <t>Vehicle Wrap/Branding</t>
        </is>
      </c>
      <c r="C52" s="8" t="n">
        <v>1</v>
      </c>
      <c r="D52" s="5" t="n">
        <v>2800</v>
      </c>
      <c r="E52" s="10">
        <f>C52*D52</f>
        <v/>
      </c>
    </row>
    <row r="53">
      <c r="A53" s="4" t="n"/>
      <c r="B53" s="4" t="inlineStr">
        <is>
          <t>Magnetic Door Signs (backup)</t>
        </is>
      </c>
      <c r="C53" s="8" t="n">
        <v>2</v>
      </c>
      <c r="D53" s="5" t="n">
        <v>85</v>
      </c>
      <c r="E53" s="11">
        <f>C53*D53</f>
        <v/>
      </c>
    </row>
    <row r="54">
      <c r="A54" s="6" t="n"/>
      <c r="B54" s="6" t="inlineStr">
        <is>
          <t>Roof Rack / Interior Shelving</t>
        </is>
      </c>
      <c r="C54" s="8" t="n">
        <v>1</v>
      </c>
      <c r="D54" s="5" t="n">
        <v>650</v>
      </c>
      <c r="E54" s="10">
        <f>C54*D54</f>
        <v/>
      </c>
    </row>
    <row r="55">
      <c r="A55" s="4" t="n"/>
      <c r="B55" s="4" t="inlineStr">
        <is>
          <t>GPS Tracker</t>
        </is>
      </c>
      <c r="C55" s="8" t="n">
        <v>1</v>
      </c>
      <c r="D55" s="5" t="n">
        <v>120</v>
      </c>
      <c r="E55" s="11">
        <f>C55*D55</f>
        <v/>
      </c>
    </row>
    <row r="56">
      <c r="A56" s="6" t="n"/>
      <c r="B56" s="6" t="inlineStr">
        <is>
          <t>Dash Camera</t>
        </is>
      </c>
      <c r="C56" s="8" t="n">
        <v>1</v>
      </c>
      <c r="D56" s="5" t="n">
        <v>150</v>
      </c>
      <c r="E56" s="10">
        <f>C56*D56</f>
        <v/>
      </c>
    </row>
    <row r="57">
      <c r="A57" s="4" t="n"/>
      <c r="B57" s="4" t="inlineStr">
        <is>
          <t>First Aid Kit</t>
        </is>
      </c>
      <c r="C57" s="8" t="n">
        <v>2</v>
      </c>
      <c r="D57" s="5" t="n">
        <v>45</v>
      </c>
      <c r="E57" s="11">
        <f>C57*D57</f>
        <v/>
      </c>
    </row>
    <row r="58">
      <c r="A58" s="6" t="n"/>
      <c r="B58" s="6" t="inlineStr">
        <is>
          <t>Vehicle Insurance Deposit (6 months)</t>
        </is>
      </c>
      <c r="C58" s="8" t="n">
        <v>1</v>
      </c>
      <c r="D58" s="5" t="n">
        <v>3600</v>
      </c>
      <c r="E58" s="10">
        <f>C58*D58</f>
        <v/>
      </c>
    </row>
    <row r="59">
      <c r="A59" s="3" t="inlineStr">
        <is>
          <t>TECHNOLOGY &amp; SOFTWARE</t>
        </is>
      </c>
      <c r="B59" s="3" t="n"/>
      <c r="C59" s="3" t="n"/>
      <c r="D59" s="3" t="n"/>
      <c r="E59" s="3" t="n"/>
    </row>
    <row r="60">
      <c r="A60" s="6" t="n"/>
      <c r="B60" s="6" t="inlineStr">
        <is>
          <t>Business Laptop (admin)</t>
        </is>
      </c>
      <c r="C60" s="8" t="n">
        <v>1</v>
      </c>
      <c r="D60" s="5" t="n">
        <v>800</v>
      </c>
      <c r="E60" s="10">
        <f>C60*D60</f>
        <v/>
      </c>
    </row>
    <row r="61">
      <c r="A61" s="4" t="n"/>
      <c r="B61" s="4" t="inlineStr">
        <is>
          <t>Tablet for Field Team</t>
        </is>
      </c>
      <c r="C61" s="8" t="n">
        <v>2</v>
      </c>
      <c r="D61" s="5" t="n">
        <v>350</v>
      </c>
      <c r="E61" s="11">
        <f>C61*D61</f>
        <v/>
      </c>
    </row>
    <row r="62">
      <c r="A62" s="6" t="n"/>
      <c r="B62" s="6" t="inlineStr">
        <is>
          <t>Smartphone (business line)</t>
        </is>
      </c>
      <c r="C62" s="8" t="n">
        <v>1</v>
      </c>
      <c r="D62" s="5" t="n">
        <v>400</v>
      </c>
      <c r="E62" s="10">
        <f>C62*D62</f>
        <v/>
      </c>
    </row>
    <row r="63">
      <c r="A63" s="4" t="n"/>
      <c r="B63" s="4" t="inlineStr">
        <is>
          <t>Printer/Scanner</t>
        </is>
      </c>
      <c r="C63" s="8" t="n">
        <v>1</v>
      </c>
      <c r="D63" s="5" t="n">
        <v>250</v>
      </c>
      <c r="E63" s="11">
        <f>C63*D63</f>
        <v/>
      </c>
    </row>
    <row r="64">
      <c r="A64" s="6" t="n"/>
      <c r="B64" s="6" t="inlineStr">
        <is>
          <t>QuickBooks Subscription (Annual)</t>
        </is>
      </c>
      <c r="C64" s="8" t="n">
        <v>1</v>
      </c>
      <c r="D64" s="5" t="n">
        <v>540</v>
      </c>
      <c r="E64" s="10">
        <f>C64*D64</f>
        <v/>
      </c>
    </row>
    <row r="65">
      <c r="A65" s="4" t="n"/>
      <c r="B65" s="4" t="inlineStr">
        <is>
          <t>Business Phone System (VoIP setup)</t>
        </is>
      </c>
      <c r="C65" s="8" t="n">
        <v>1</v>
      </c>
      <c r="D65" s="5" t="n">
        <v>200</v>
      </c>
      <c r="E65" s="11">
        <f>C65*D65</f>
        <v/>
      </c>
    </row>
    <row r="66">
      <c r="A66" s="6" t="n"/>
      <c r="B66" s="6" t="inlineStr">
        <is>
          <t>CRM/Scheduling Software (Annual)</t>
        </is>
      </c>
      <c r="C66" s="8" t="n">
        <v>1</v>
      </c>
      <c r="D66" s="5" t="n">
        <v>600</v>
      </c>
      <c r="E66" s="10">
        <f>C66*D66</f>
        <v/>
      </c>
    </row>
    <row r="67">
      <c r="A67" s="3" t="inlineStr">
        <is>
          <t>LEGAL &amp; LICENSING</t>
        </is>
      </c>
      <c r="B67" s="3" t="n"/>
      <c r="C67" s="3" t="n"/>
      <c r="D67" s="3" t="n"/>
      <c r="E67" s="3" t="n"/>
    </row>
    <row r="68">
      <c r="A68" s="6" t="n"/>
      <c r="B68" s="6" t="inlineStr">
        <is>
          <t>Florida LLC Formation</t>
        </is>
      </c>
      <c r="C68" s="8" t="n">
        <v>1</v>
      </c>
      <c r="D68" s="5" t="n">
        <v>125</v>
      </c>
      <c r="E68" s="10">
        <f>C68*D68</f>
        <v/>
      </c>
    </row>
    <row r="69">
      <c r="A69" s="4" t="n"/>
      <c r="B69" s="4" t="inlineStr">
        <is>
          <t>Business License (Miami-Dade County)</t>
        </is>
      </c>
      <c r="C69" s="8" t="n">
        <v>1</v>
      </c>
      <c r="D69" s="5" t="n">
        <v>50</v>
      </c>
      <c r="E69" s="11">
        <f>C69*D69</f>
        <v/>
      </c>
    </row>
    <row r="70">
      <c r="A70" s="6" t="n"/>
      <c r="B70" s="6" t="inlineStr">
        <is>
          <t>General Liability Insurance (Annual)</t>
        </is>
      </c>
      <c r="C70" s="8" t="n">
        <v>1</v>
      </c>
      <c r="D70" s="5" t="n">
        <v>2400</v>
      </c>
      <c r="E70" s="10">
        <f>C70*D70</f>
        <v/>
      </c>
    </row>
    <row r="71">
      <c r="A71" s="4" t="n"/>
      <c r="B71" s="4" t="inlineStr">
        <is>
          <t>Workers Compensation Insurance (Annual)</t>
        </is>
      </c>
      <c r="C71" s="8" t="n">
        <v>1</v>
      </c>
      <c r="D71" s="5" t="n">
        <v>3200</v>
      </c>
      <c r="E71" s="11">
        <f>C71*D71</f>
        <v/>
      </c>
    </row>
    <row r="72">
      <c r="A72" s="6" t="n"/>
      <c r="B72" s="6" t="inlineStr">
        <is>
          <t>Surety Bond (Janitorial)</t>
        </is>
      </c>
      <c r="C72" s="8" t="n">
        <v>1</v>
      </c>
      <c r="D72" s="5" t="n">
        <v>500</v>
      </c>
      <c r="E72" s="10">
        <f>C72*D72</f>
        <v/>
      </c>
    </row>
    <row r="73">
      <c r="A73" s="4" t="n"/>
      <c r="B73" s="4" t="inlineStr">
        <is>
          <t>Registered Agent Service (Annual)</t>
        </is>
      </c>
      <c r="C73" s="8" t="n">
        <v>1</v>
      </c>
      <c r="D73" s="5" t="n">
        <v>125</v>
      </c>
      <c r="E73" s="11">
        <f>C73*D73</f>
        <v/>
      </c>
    </row>
    <row r="74">
      <c r="A74" s="6" t="n"/>
      <c r="B74" s="6" t="inlineStr">
        <is>
          <t>Legal Consultation (contracts, waivers)</t>
        </is>
      </c>
      <c r="C74" s="8" t="n">
        <v>1</v>
      </c>
      <c r="D74" s="5" t="n">
        <v>1500</v>
      </c>
      <c r="E74" s="10">
        <f>C74*D74</f>
        <v/>
      </c>
    </row>
    <row r="75">
      <c r="A75" s="4" t="n"/>
      <c r="B75" s="4" t="inlineStr">
        <is>
          <t>Background Check Service (per employee)</t>
        </is>
      </c>
      <c r="C75" s="8" t="n">
        <v>6</v>
      </c>
      <c r="D75" s="5" t="n">
        <v>35</v>
      </c>
      <c r="E75" s="11">
        <f>C75*D75</f>
        <v/>
      </c>
    </row>
    <row r="76">
      <c r="A76" s="3" t="inlineStr">
        <is>
          <t>MARKETING &amp; BRANDING</t>
        </is>
      </c>
      <c r="B76" s="3" t="n"/>
      <c r="C76" s="3" t="n"/>
      <c r="D76" s="3" t="n"/>
      <c r="E76" s="3" t="n"/>
    </row>
    <row r="77">
      <c r="A77" s="4" t="n"/>
      <c r="B77" s="4" t="inlineStr">
        <is>
          <t>Logo &amp; Brand Design Package</t>
        </is>
      </c>
      <c r="C77" s="8" t="n">
        <v>1</v>
      </c>
      <c r="D77" s="5" t="n">
        <v>800</v>
      </c>
      <c r="E77" s="11">
        <f>C77*D77</f>
        <v/>
      </c>
    </row>
    <row r="78">
      <c r="A78" s="6" t="n"/>
      <c r="B78" s="6" t="inlineStr">
        <is>
          <t>Business Cards (500 count)</t>
        </is>
      </c>
      <c r="C78" s="8" t="n">
        <v>2</v>
      </c>
      <c r="D78" s="5" t="n">
        <v>45</v>
      </c>
      <c r="E78" s="10">
        <f>C78*D78</f>
        <v/>
      </c>
    </row>
    <row r="79">
      <c r="A79" s="4" t="n"/>
      <c r="B79" s="4" t="inlineStr">
        <is>
          <t>Flyers/Door Hangers (5,000 count)</t>
        </is>
      </c>
      <c r="C79" s="8" t="n">
        <v>1</v>
      </c>
      <c r="D79" s="5" t="n">
        <v>350</v>
      </c>
      <c r="E79" s="11">
        <f>C79*D79</f>
        <v/>
      </c>
    </row>
    <row r="80">
      <c r="A80" s="6" t="n"/>
      <c r="B80" s="6" t="inlineStr">
        <is>
          <t>Yard Signs (after-service signs)</t>
        </is>
      </c>
      <c r="C80" s="8" t="n">
        <v>20</v>
      </c>
      <c r="D80" s="5" t="n">
        <v>12</v>
      </c>
      <c r="E80" s="10">
        <f>C80*D80</f>
        <v/>
      </c>
    </row>
    <row r="81">
      <c r="A81" s="4" t="n"/>
      <c r="B81" s="4" t="inlineStr">
        <is>
          <t>Branded Uniforms (polo shirts)</t>
        </is>
      </c>
      <c r="C81" s="8" t="n">
        <v>10</v>
      </c>
      <c r="D81" s="5" t="n">
        <v>25</v>
      </c>
      <c r="E81" s="11">
        <f>C81*D81</f>
        <v/>
      </c>
    </row>
    <row r="82">
      <c r="A82" s="6" t="n"/>
      <c r="B82" s="6" t="inlineStr">
        <is>
          <t>Branded Aprons</t>
        </is>
      </c>
      <c r="C82" s="8" t="n">
        <v>6</v>
      </c>
      <c r="D82" s="5" t="n">
        <v>18</v>
      </c>
      <c r="E82" s="10">
        <f>C82*D82</f>
        <v/>
      </c>
    </row>
    <row r="83">
      <c r="A83" s="4" t="n"/>
      <c r="B83" s="4" t="inlineStr">
        <is>
          <t>Google Ads Initial Budget</t>
        </is>
      </c>
      <c r="C83" s="8" t="n">
        <v>1</v>
      </c>
      <c r="D83" s="5" t="n">
        <v>1500</v>
      </c>
      <c r="E83" s="11">
        <f>C83*D83</f>
        <v/>
      </c>
    </row>
    <row r="84">
      <c r="A84" s="6" t="n"/>
      <c r="B84" s="6" t="inlineStr">
        <is>
          <t>Facebook/Instagram Ads Initial Budget</t>
        </is>
      </c>
      <c r="C84" s="8" t="n">
        <v>1</v>
      </c>
      <c r="D84" s="5" t="n">
        <v>1000</v>
      </c>
      <c r="E84" s="10">
        <f>C84*D84</f>
        <v/>
      </c>
    </row>
    <row r="85">
      <c r="A85" s="4" t="n"/>
      <c r="B85" s="4" t="inlineStr">
        <is>
          <t>Yelp Business Page + Initial Ads</t>
        </is>
      </c>
      <c r="C85" s="8" t="n">
        <v>1</v>
      </c>
      <c r="D85" s="5" t="n">
        <v>500</v>
      </c>
      <c r="E85" s="11">
        <f>C85*D85</f>
        <v/>
      </c>
    </row>
    <row r="86">
      <c r="A86" s="6" t="n"/>
      <c r="B86" s="6" t="inlineStr">
        <is>
          <t>Nextdoor Business Promotion</t>
        </is>
      </c>
      <c r="C86" s="8" t="n">
        <v>1</v>
      </c>
      <c r="D86" s="5" t="n">
        <v>200</v>
      </c>
      <c r="E86" s="10">
        <f>C86*D86</f>
        <v/>
      </c>
    </row>
    <row r="87">
      <c r="A87" s="4" t="n"/>
      <c r="B87" s="4" t="inlineStr">
        <is>
          <t>Referral Program Cards (1,000)</t>
        </is>
      </c>
      <c r="C87" s="8" t="n">
        <v>1</v>
      </c>
      <c r="D87" s="5" t="n">
        <v>80</v>
      </c>
      <c r="E87" s="11">
        <f>C87*D87</f>
        <v/>
      </c>
    </row>
    <row r="88">
      <c r="A88" s="6" t="n"/>
      <c r="B88" s="6" t="inlineStr">
        <is>
          <t>Website Domain &amp; Hosting (Annual)</t>
        </is>
      </c>
      <c r="C88" s="8" t="n">
        <v>1</v>
      </c>
      <c r="D88" s="5" t="n">
        <v>200</v>
      </c>
      <c r="E88" s="10">
        <f>C88*D88</f>
        <v/>
      </c>
    </row>
    <row r="89">
      <c r="A89" s="3" t="inlineStr">
        <is>
          <t>OFFICE &amp; ADMIN</t>
        </is>
      </c>
      <c r="B89" s="3" t="n"/>
      <c r="C89" s="3" t="n"/>
      <c r="D89" s="3" t="n"/>
      <c r="E89" s="3" t="n"/>
    </row>
    <row r="90">
      <c r="A90" s="6" t="n"/>
      <c r="B90" s="6" t="inlineStr">
        <is>
          <t>Home Office Setup (desk, chair, filing)</t>
        </is>
      </c>
      <c r="C90" s="8" t="n">
        <v>1</v>
      </c>
      <c r="D90" s="5" t="n">
        <v>500</v>
      </c>
      <c r="E90" s="10">
        <f>C90*D90</f>
        <v/>
      </c>
    </row>
    <row r="91">
      <c r="A91" s="4" t="n"/>
      <c r="B91" s="4" t="inlineStr">
        <is>
          <t>Office Supplies (paper, pens, folders)</t>
        </is>
      </c>
      <c r="C91" s="8" t="n">
        <v>1</v>
      </c>
      <c r="D91" s="5" t="n">
        <v>150</v>
      </c>
      <c r="E91" s="11">
        <f>C91*D91</f>
        <v/>
      </c>
    </row>
    <row r="92">
      <c r="A92" s="6" t="n"/>
      <c r="B92" s="6" t="inlineStr">
        <is>
          <t>Storage Unit (3 months deposit)</t>
        </is>
      </c>
      <c r="C92" s="8" t="n">
        <v>3</v>
      </c>
      <c r="D92" s="5" t="n">
        <v>120</v>
      </c>
      <c r="E92" s="10">
        <f>C92*D92</f>
        <v/>
      </c>
    </row>
    <row r="93">
      <c r="A93" s="4" t="n"/>
      <c r="B93" s="4" t="inlineStr">
        <is>
          <t>Safety Data Sheet Binder (OSHA)</t>
        </is>
      </c>
      <c r="C93" s="8" t="n">
        <v>1</v>
      </c>
      <c r="D93" s="5" t="n">
        <v>35</v>
      </c>
      <c r="E93" s="11">
        <f>C93*D93</f>
        <v/>
      </c>
    </row>
    <row r="94">
      <c r="A94" s="6" t="n"/>
      <c r="B94" s="6" t="inlineStr">
        <is>
          <t>Employee Handbook Printing</t>
        </is>
      </c>
      <c r="C94" s="8" t="n">
        <v>10</v>
      </c>
      <c r="D94" s="5" t="n">
        <v>8</v>
      </c>
      <c r="E94" s="10">
        <f>C94*D94</f>
        <v/>
      </c>
    </row>
    <row r="95">
      <c r="A95" s="3" t="inlineStr">
        <is>
          <t>CONTINGENCY / EMERGENCY FUND</t>
        </is>
      </c>
      <c r="B95" s="3" t="n"/>
      <c r="C95" s="3" t="n"/>
      <c r="D95" s="3" t="n"/>
      <c r="E95" s="3" t="n"/>
    </row>
    <row r="96">
      <c r="A96" s="6" t="n"/>
      <c r="B96" s="6" t="inlineStr">
        <is>
          <t>Emergency Repair Fund</t>
        </is>
      </c>
      <c r="C96" s="8" t="n">
        <v>1</v>
      </c>
      <c r="D96" s="5" t="n">
        <v>1500</v>
      </c>
      <c r="E96" s="10">
        <f>C96*D96</f>
        <v/>
      </c>
    </row>
    <row r="97">
      <c r="A97" s="4" t="n"/>
      <c r="B97" s="4" t="inlineStr">
        <is>
          <t>Working Capital Reserve (2 months)</t>
        </is>
      </c>
      <c r="C97" s="8" t="n">
        <v>1</v>
      </c>
      <c r="D97" s="5" t="n">
        <v>12000</v>
      </c>
      <c r="E97" s="11">
        <f>C97*D97</f>
        <v/>
      </c>
    </row>
    <row r="98">
      <c r="A98" s="6" t="n"/>
      <c r="B98" s="6" t="inlineStr">
        <is>
          <t>Unexpected Expense Buffer</t>
        </is>
      </c>
      <c r="C98" s="8" t="n">
        <v>1</v>
      </c>
      <c r="D98" s="5" t="n">
        <v>2000</v>
      </c>
      <c r="E98" s="10">
        <f>C98*D98</f>
        <v/>
      </c>
    </row>
    <row r="100">
      <c r="A100" s="12" t="inlineStr">
        <is>
          <t>TOTAL STARTUP INVESTMENT</t>
        </is>
      </c>
      <c r="B100" s="12" t="n"/>
      <c r="C100" s="12" t="n"/>
      <c r="D100" s="12" t="n"/>
      <c r="E100" s="13">
        <f>SUM(E5:E98)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B57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HAVANA CLEANING — MONTHLY SUPPLY COSTS</t>
        </is>
      </c>
    </row>
    <row r="3">
      <c r="A3" s="9" t="inlineStr">
        <is>
          <t>ITEM</t>
        </is>
      </c>
      <c r="B3" s="9" t="inlineStr">
        <is>
          <t>COST/UNIT</t>
        </is>
      </c>
      <c r="C3" s="9" t="inlineStr">
        <is>
          <t>UNITS/MONTH</t>
        </is>
      </c>
      <c r="D3" s="9" t="inlineStr">
        <is>
          <t>MONTHLY COST</t>
        </is>
      </c>
      <c r="E3" s="9" t="inlineStr">
        <is>
          <t>ANNUAL COST</t>
        </is>
      </c>
    </row>
    <row r="4">
      <c r="A4" s="6" t="inlineStr">
        <is>
          <t>All-Purpose Cleaner (concentrate)</t>
        </is>
      </c>
      <c r="B4" s="5" t="n">
        <v>18</v>
      </c>
      <c r="C4" s="8" t="n">
        <v>4</v>
      </c>
      <c r="D4" s="10">
        <f>B4*C4</f>
        <v/>
      </c>
      <c r="E4" s="10">
        <f>D4*12</f>
        <v/>
      </c>
    </row>
    <row r="5">
      <c r="A5" s="4" t="inlineStr">
        <is>
          <t>Glass Cleaner (concentrate)</t>
        </is>
      </c>
      <c r="B5" s="5" t="n">
        <v>15</v>
      </c>
      <c r="C5" s="8" t="n">
        <v>3</v>
      </c>
      <c r="D5" s="11">
        <f>B5*C5</f>
        <v/>
      </c>
      <c r="E5" s="11">
        <f>D5*12</f>
        <v/>
      </c>
    </row>
    <row r="6">
      <c r="A6" s="6" t="inlineStr">
        <is>
          <t>Disinfectant Spray (concentrate)</t>
        </is>
      </c>
      <c r="B6" s="5" t="n">
        <v>22</v>
      </c>
      <c r="C6" s="8" t="n">
        <v>3</v>
      </c>
      <c r="D6" s="10">
        <f>B6*C6</f>
        <v/>
      </c>
      <c r="E6" s="10">
        <f>D6*12</f>
        <v/>
      </c>
    </row>
    <row r="7">
      <c r="A7" s="4" t="inlineStr">
        <is>
          <t>Toilet Bowl Cleaner</t>
        </is>
      </c>
      <c r="B7" s="5" t="n">
        <v>5.75</v>
      </c>
      <c r="C7" s="8" t="n">
        <v>8</v>
      </c>
      <c r="D7" s="11">
        <f>B7*C7</f>
        <v/>
      </c>
      <c r="E7" s="11">
        <f>D7*12</f>
        <v/>
      </c>
    </row>
    <row r="8">
      <c r="A8" s="6" t="inlineStr">
        <is>
          <t>Stainless Steel Cleaner</t>
        </is>
      </c>
      <c r="B8" s="5" t="n">
        <v>9</v>
      </c>
      <c r="C8" s="8" t="n">
        <v>3</v>
      </c>
      <c r="D8" s="10">
        <f>B8*C8</f>
        <v/>
      </c>
      <c r="E8" s="10">
        <f>D8*12</f>
        <v/>
      </c>
    </row>
    <row r="9">
      <c r="A9" s="4" t="inlineStr">
        <is>
          <t>Wood Floor Cleaner</t>
        </is>
      </c>
      <c r="B9" s="5" t="n">
        <v>14</v>
      </c>
      <c r="C9" s="8" t="n">
        <v>2</v>
      </c>
      <c r="D9" s="11">
        <f>B9*C9</f>
        <v/>
      </c>
      <c r="E9" s="11">
        <f>D9*12</f>
        <v/>
      </c>
    </row>
    <row r="10">
      <c r="A10" s="6" t="inlineStr">
        <is>
          <t>Tile &amp; Grout Cleaner</t>
        </is>
      </c>
      <c r="B10" s="5" t="n">
        <v>16</v>
      </c>
      <c r="C10" s="8" t="n">
        <v>2</v>
      </c>
      <c r="D10" s="10">
        <f>B10*C10</f>
        <v/>
      </c>
      <c r="E10" s="10">
        <f>D10*12</f>
        <v/>
      </c>
    </row>
    <row r="11">
      <c r="A11" s="4" t="inlineStr">
        <is>
          <t>Degreaser (kitchen)</t>
        </is>
      </c>
      <c r="B11" s="5" t="n">
        <v>18</v>
      </c>
      <c r="C11" s="8" t="n">
        <v>2</v>
      </c>
      <c r="D11" s="11">
        <f>B11*C11</f>
        <v/>
      </c>
      <c r="E11" s="11">
        <f>D11*12</f>
        <v/>
      </c>
    </row>
    <row r="12">
      <c r="A12" s="6" t="inlineStr">
        <is>
          <t>Microfiber Cloths (24-pack)</t>
        </is>
      </c>
      <c r="B12" s="5" t="n">
        <v>22</v>
      </c>
      <c r="C12" s="8" t="n">
        <v>3</v>
      </c>
      <c r="D12" s="10">
        <f>B12*C12</f>
        <v/>
      </c>
      <c r="E12" s="10">
        <f>D12*12</f>
        <v/>
      </c>
    </row>
    <row r="13">
      <c r="A13" s="4" t="inlineStr">
        <is>
          <t>Sponges (12-pack)</t>
        </is>
      </c>
      <c r="B13" s="5" t="n">
        <v>8</v>
      </c>
      <c r="C13" s="8" t="n">
        <v>3</v>
      </c>
      <c r="D13" s="11">
        <f>B13*C13</f>
        <v/>
      </c>
      <c r="E13" s="11">
        <f>D13*12</f>
        <v/>
      </c>
    </row>
    <row r="14">
      <c r="A14" s="6" t="inlineStr">
        <is>
          <t>Magic Eraser Pads (10-pack)</t>
        </is>
      </c>
      <c r="B14" s="5" t="n">
        <v>12</v>
      </c>
      <c r="C14" s="8" t="n">
        <v>3</v>
      </c>
      <c r="D14" s="10">
        <f>B14*C14</f>
        <v/>
      </c>
      <c r="E14" s="10">
        <f>D14*12</f>
        <v/>
      </c>
    </row>
    <row r="15">
      <c r="A15" s="4" t="inlineStr">
        <is>
          <t>Trash Bags 13-gal (100ct)</t>
        </is>
      </c>
      <c r="B15" s="5" t="n">
        <v>18</v>
      </c>
      <c r="C15" s="8" t="n">
        <v>2</v>
      </c>
      <c r="D15" s="11">
        <f>B15*C15</f>
        <v/>
      </c>
      <c r="E15" s="11">
        <f>D15*12</f>
        <v/>
      </c>
    </row>
    <row r="16">
      <c r="A16" s="6" t="inlineStr">
        <is>
          <t>Trash Bags 33-gal (100ct)</t>
        </is>
      </c>
      <c r="B16" s="5" t="n">
        <v>22</v>
      </c>
      <c r="C16" s="8" t="n">
        <v>1</v>
      </c>
      <c r="D16" s="10">
        <f>B16*C16</f>
        <v/>
      </c>
      <c r="E16" s="10">
        <f>D16*12</f>
        <v/>
      </c>
    </row>
    <row r="17">
      <c r="A17" s="4" t="inlineStr">
        <is>
          <t>Paper Towels (30-roll case)</t>
        </is>
      </c>
      <c r="B17" s="5" t="n">
        <v>28</v>
      </c>
      <c r="C17" s="8" t="n">
        <v>2</v>
      </c>
      <c r="D17" s="11">
        <f>B17*C17</f>
        <v/>
      </c>
      <c r="E17" s="11">
        <f>D17*12</f>
        <v/>
      </c>
    </row>
    <row r="18">
      <c r="A18" s="6" t="inlineStr">
        <is>
          <t>Latex/Nitrile Gloves (100ct)</t>
        </is>
      </c>
      <c r="B18" s="5" t="n">
        <v>11</v>
      </c>
      <c r="C18" s="8" t="n">
        <v>4</v>
      </c>
      <c r="D18" s="10">
        <f>B18*C18</f>
        <v/>
      </c>
      <c r="E18" s="10">
        <f>D18*12</f>
        <v/>
      </c>
    </row>
    <row r="19">
      <c r="A19" s="4" t="inlineStr">
        <is>
          <t>Shoe Covers (100ct)</t>
        </is>
      </c>
      <c r="B19" s="5" t="n">
        <v>15</v>
      </c>
      <c r="C19" s="8" t="n">
        <v>2</v>
      </c>
      <c r="D19" s="11">
        <f>B19*C19</f>
        <v/>
      </c>
      <c r="E19" s="11">
        <f>D19*12</f>
        <v/>
      </c>
    </row>
    <row r="20">
      <c r="A20" s="6" t="inlineStr">
        <is>
          <t>Mop Head Refills</t>
        </is>
      </c>
      <c r="B20" s="5" t="n">
        <v>7.5</v>
      </c>
      <c r="C20" s="8" t="n">
        <v>4</v>
      </c>
      <c r="D20" s="10">
        <f>B20*C20</f>
        <v/>
      </c>
      <c r="E20" s="10">
        <f>D20*12</f>
        <v/>
      </c>
    </row>
    <row r="21">
      <c r="A21" s="4" t="inlineStr">
        <is>
          <t>Vacuum Bags/Filters</t>
        </is>
      </c>
      <c r="B21" s="5" t="n">
        <v>15</v>
      </c>
      <c r="C21" s="8" t="n">
        <v>2</v>
      </c>
      <c r="D21" s="11">
        <f>B21*C21</f>
        <v/>
      </c>
      <c r="E21" s="11">
        <f>D21*12</f>
        <v/>
      </c>
    </row>
    <row r="22">
      <c r="A22" s="6" t="inlineStr">
        <is>
          <t>Air Freshener Spray</t>
        </is>
      </c>
      <c r="B22" s="5" t="n">
        <v>6</v>
      </c>
      <c r="C22" s="8" t="n">
        <v>4</v>
      </c>
      <c r="D22" s="10">
        <f>B22*C22</f>
        <v/>
      </c>
      <c r="E22" s="10">
        <f>D22*12</f>
        <v/>
      </c>
    </row>
    <row r="23">
      <c r="A23" s="4" t="inlineStr">
        <is>
          <t>Scrub Pads (assorted)</t>
        </is>
      </c>
      <c r="B23" s="5" t="n">
        <v>10</v>
      </c>
      <c r="C23" s="8" t="n">
        <v>2</v>
      </c>
      <c r="D23" s="11">
        <f>B23*C23</f>
        <v/>
      </c>
      <c r="E23" s="11">
        <f>D23*12</f>
        <v/>
      </c>
    </row>
    <row r="24">
      <c r="A24" s="6" t="inlineStr">
        <is>
          <t>Eco All-Purpose Cleaner</t>
        </is>
      </c>
      <c r="B24" s="5" t="n">
        <v>24</v>
      </c>
      <c r="C24" s="8" t="n">
        <v>2</v>
      </c>
      <c r="D24" s="10">
        <f>B24*C24</f>
        <v/>
      </c>
      <c r="E24" s="10">
        <f>D24*12</f>
        <v/>
      </c>
    </row>
    <row r="25">
      <c r="A25" s="4" t="inlineStr">
        <is>
          <t>Eco Disinfectant</t>
        </is>
      </c>
      <c r="B25" s="5" t="n">
        <v>28</v>
      </c>
      <c r="C25" s="8" t="n">
        <v>1</v>
      </c>
      <c r="D25" s="11">
        <f>B25*C25</f>
        <v/>
      </c>
      <c r="E25" s="11">
        <f>D25*12</f>
        <v/>
      </c>
    </row>
    <row r="27">
      <c r="A27" s="12" t="inlineStr">
        <is>
          <t>TOTAL MONTHLY SUPPLY COST</t>
        </is>
      </c>
      <c r="B27" s="12" t="n"/>
      <c r="C27" s="12" t="n"/>
      <c r="D27" s="13">
        <f>SUM(D4:D25)</f>
        <v/>
      </c>
      <c r="E27" s="13">
        <f>SUM(E4:E25)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4D3E"/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HAVANA CLEANING — YEAR 1 EMPLOYEE &amp; LABOR COST MODEL</t>
        </is>
      </c>
    </row>
    <row r="2">
      <c r="A2" s="2" t="inlineStr">
        <is>
          <t>Edit monthly headcounts (yellow). Wages auto-calculate from Inputs sheet rates.</t>
        </is>
      </c>
    </row>
    <row r="4">
      <c r="A4" s="14" t="inlineStr">
        <is>
          <t>MONTHLY HEADCOUNT (editable)</t>
        </is>
      </c>
    </row>
    <row r="6">
      <c r="A6" s="9" t="inlineStr">
        <is>
          <t>ROLE</t>
        </is>
      </c>
      <c r="B6" s="9" t="inlineStr">
        <is>
          <t>RATE SOURCE</t>
        </is>
      </c>
      <c r="C6" s="9" t="inlineStr">
        <is>
          <t>M1</t>
        </is>
      </c>
      <c r="D6" s="9" t="inlineStr">
        <is>
          <t>M2</t>
        </is>
      </c>
      <c r="E6" s="9" t="inlineStr">
        <is>
          <t>M3</t>
        </is>
      </c>
      <c r="F6" s="9" t="inlineStr">
        <is>
          <t>M4</t>
        </is>
      </c>
      <c r="G6" s="9" t="inlineStr">
        <is>
          <t>M5</t>
        </is>
      </c>
      <c r="H6" s="9" t="inlineStr">
        <is>
          <t>M6</t>
        </is>
      </c>
      <c r="I6" s="9" t="inlineStr">
        <is>
          <t>M7</t>
        </is>
      </c>
      <c r="J6" s="9" t="inlineStr">
        <is>
          <t>M8</t>
        </is>
      </c>
      <c r="K6" s="9" t="inlineStr">
        <is>
          <t>M9</t>
        </is>
      </c>
      <c r="L6" s="9" t="inlineStr">
        <is>
          <t>M10</t>
        </is>
      </c>
      <c r="M6" s="9" t="inlineStr">
        <is>
          <t>M11</t>
        </is>
      </c>
      <c r="N6" s="9" t="inlineStr">
        <is>
          <t>M12</t>
        </is>
      </c>
    </row>
    <row r="7">
      <c r="A7" s="4" t="inlineStr">
        <is>
          <t>Owner/Operator (cleaning + admin)</t>
        </is>
      </c>
      <c r="B7" s="4" t="inlineStr">
        <is>
          <t>Inputs B26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</row>
    <row r="8">
      <c r="A8" s="6" t="inlineStr">
        <is>
          <t>Entry-Level Cleaners</t>
        </is>
      </c>
      <c r="B8" s="6" t="inlineStr">
        <is>
          <t>Inputs B17</t>
        </is>
      </c>
      <c r="C8" s="8" t="n">
        <v>1</v>
      </c>
      <c r="D8" s="8" t="n">
        <v>1</v>
      </c>
      <c r="E8" s="8" t="n">
        <v>1</v>
      </c>
      <c r="F8" s="8" t="n">
        <v>2</v>
      </c>
      <c r="G8" s="8" t="n">
        <v>2</v>
      </c>
      <c r="H8" s="8" t="n">
        <v>2</v>
      </c>
      <c r="I8" s="8" t="n">
        <v>3</v>
      </c>
      <c r="J8" s="8" t="n">
        <v>3</v>
      </c>
      <c r="K8" s="8" t="n">
        <v>3</v>
      </c>
      <c r="L8" s="8" t="n">
        <v>3</v>
      </c>
      <c r="M8" s="8" t="n">
        <v>4</v>
      </c>
      <c r="N8" s="8" t="n">
        <v>4</v>
      </c>
    </row>
    <row r="9">
      <c r="A9" s="4" t="inlineStr">
        <is>
          <t>Senior Cleaners</t>
        </is>
      </c>
      <c r="B9" s="4" t="inlineStr">
        <is>
          <t>Inputs B18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</row>
    <row r="10">
      <c r="A10" s="6" t="inlineStr">
        <is>
          <t>Part-Time Admin/Scheduler</t>
        </is>
      </c>
      <c r="B10" s="6" t="inlineStr">
        <is>
          <t>Inputs B20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</row>
    <row r="11">
      <c r="A11" s="12" t="inlineStr">
        <is>
          <t>TOTAL HEADCOUNT</t>
        </is>
      </c>
      <c r="B11" s="12" t="n"/>
      <c r="C11" s="12">
        <f>SUM(C7:C10)</f>
        <v/>
      </c>
      <c r="D11" s="12">
        <f>SUM(D7:D10)</f>
        <v/>
      </c>
      <c r="E11" s="12">
        <f>SUM(E7:E10)</f>
        <v/>
      </c>
      <c r="F11" s="12">
        <f>SUM(F7:F10)</f>
        <v/>
      </c>
      <c r="G11" s="12">
        <f>SUM(G7:G10)</f>
        <v/>
      </c>
      <c r="H11" s="12">
        <f>SUM(H7:H10)</f>
        <v/>
      </c>
      <c r="I11" s="12">
        <f>SUM(I7:I10)</f>
        <v/>
      </c>
      <c r="J11" s="12">
        <f>SUM(J7:J10)</f>
        <v/>
      </c>
      <c r="K11" s="12">
        <f>SUM(K7:K10)</f>
        <v/>
      </c>
      <c r="L11" s="12">
        <f>SUM(L7:L10)</f>
        <v/>
      </c>
      <c r="M11" s="12">
        <f>SUM(M7:M10)</f>
        <v/>
      </c>
      <c r="N11" s="12">
        <f>SUM(N7:N10)</f>
        <v/>
      </c>
    </row>
    <row r="13">
      <c r="A13" s="14" t="inlineStr">
        <is>
          <t>MONTHLY LABOR COST BREAKDOWN (auto-calculated)</t>
        </is>
      </c>
    </row>
    <row r="15">
      <c r="A15" s="9" t="inlineStr">
        <is>
          <t>COST COMPONENT</t>
        </is>
      </c>
      <c r="B15" s="9" t="inlineStr"/>
      <c r="C15" s="9" t="inlineStr">
        <is>
          <t>M1</t>
        </is>
      </c>
      <c r="D15" s="9" t="inlineStr">
        <is>
          <t>M2</t>
        </is>
      </c>
      <c r="E15" s="9" t="inlineStr">
        <is>
          <t>M3</t>
        </is>
      </c>
      <c r="F15" s="9" t="inlineStr">
        <is>
          <t>M4</t>
        </is>
      </c>
      <c r="G15" s="9" t="inlineStr">
        <is>
          <t>M5</t>
        </is>
      </c>
      <c r="H15" s="9" t="inlineStr">
        <is>
          <t>M6</t>
        </is>
      </c>
      <c r="I15" s="9" t="inlineStr">
        <is>
          <t>M7</t>
        </is>
      </c>
      <c r="J15" s="9" t="inlineStr">
        <is>
          <t>M8</t>
        </is>
      </c>
      <c r="K15" s="9" t="inlineStr">
        <is>
          <t>M9</t>
        </is>
      </c>
      <c r="L15" s="9" t="inlineStr">
        <is>
          <t>M10</t>
        </is>
      </c>
      <c r="M15" s="9" t="inlineStr">
        <is>
          <t>M11</t>
        </is>
      </c>
      <c r="N15" s="9" t="inlineStr">
        <is>
          <t>M12</t>
        </is>
      </c>
      <c r="O15" s="9" t="inlineStr">
        <is>
          <t>ANNUAL</t>
        </is>
      </c>
    </row>
    <row r="16">
      <c r="A16" s="6" t="inlineStr">
        <is>
          <t>Entry-Level Cleaner Wages</t>
        </is>
      </c>
      <c r="B16" s="6" t="n"/>
      <c r="C16" s="10">
        <f>C8*'Inputs'!$B$17*'Inputs'!$B$22</f>
        <v/>
      </c>
      <c r="D16" s="10">
        <f>D8*'Inputs'!$B$17*'Inputs'!$B$22</f>
        <v/>
      </c>
      <c r="E16" s="10">
        <f>E8*'Inputs'!$B$17*'Inputs'!$B$22</f>
        <v/>
      </c>
      <c r="F16" s="10">
        <f>F8*'Inputs'!$B$17*'Inputs'!$B$22</f>
        <v/>
      </c>
      <c r="G16" s="10">
        <f>G8*'Inputs'!$B$17*'Inputs'!$B$22</f>
        <v/>
      </c>
      <c r="H16" s="10">
        <f>H8*'Inputs'!$B$17*'Inputs'!$B$22</f>
        <v/>
      </c>
      <c r="I16" s="10">
        <f>I8*'Inputs'!$B$17*'Inputs'!$B$22</f>
        <v/>
      </c>
      <c r="J16" s="10">
        <f>J8*'Inputs'!$B$17*'Inputs'!$B$22</f>
        <v/>
      </c>
      <c r="K16" s="10">
        <f>K8*'Inputs'!$B$17*'Inputs'!$B$22</f>
        <v/>
      </c>
      <c r="L16" s="10">
        <f>L8*'Inputs'!$B$17*'Inputs'!$B$22</f>
        <v/>
      </c>
      <c r="M16" s="10">
        <f>M8*'Inputs'!$B$17*'Inputs'!$B$22</f>
        <v/>
      </c>
      <c r="N16" s="10">
        <f>N8*'Inputs'!$B$17*'Inputs'!$B$22</f>
        <v/>
      </c>
      <c r="O16" s="10">
        <f>SUM(C16:N16)</f>
        <v/>
      </c>
    </row>
    <row r="17">
      <c r="A17" s="4" t="inlineStr">
        <is>
          <t>Senior Cleaner Wages</t>
        </is>
      </c>
      <c r="B17" s="4" t="n"/>
      <c r="C17" s="11">
        <f>C9*'Inputs'!$B$18*'Inputs'!$B$22</f>
        <v/>
      </c>
      <c r="D17" s="11">
        <f>D9*'Inputs'!$B$18*'Inputs'!$B$22</f>
        <v/>
      </c>
      <c r="E17" s="11">
        <f>E9*'Inputs'!$B$18*'Inputs'!$B$22</f>
        <v/>
      </c>
      <c r="F17" s="11">
        <f>F9*'Inputs'!$B$18*'Inputs'!$B$22</f>
        <v/>
      </c>
      <c r="G17" s="11">
        <f>G9*'Inputs'!$B$18*'Inputs'!$B$22</f>
        <v/>
      </c>
      <c r="H17" s="11">
        <f>H9*'Inputs'!$B$18*'Inputs'!$B$22</f>
        <v/>
      </c>
      <c r="I17" s="11">
        <f>I9*'Inputs'!$B$18*'Inputs'!$B$22</f>
        <v/>
      </c>
      <c r="J17" s="11">
        <f>J9*'Inputs'!$B$18*'Inputs'!$B$22</f>
        <v/>
      </c>
      <c r="K17" s="11">
        <f>K9*'Inputs'!$B$18*'Inputs'!$B$22</f>
        <v/>
      </c>
      <c r="L17" s="11">
        <f>L9*'Inputs'!$B$18*'Inputs'!$B$22</f>
        <v/>
      </c>
      <c r="M17" s="11">
        <f>M9*'Inputs'!$B$18*'Inputs'!$B$22</f>
        <v/>
      </c>
      <c r="N17" s="11">
        <f>N9*'Inputs'!$B$18*'Inputs'!$B$22</f>
        <v/>
      </c>
      <c r="O17" s="11">
        <f>SUM(C17:N17)</f>
        <v/>
      </c>
    </row>
    <row r="18">
      <c r="A18" s="6" t="inlineStr">
        <is>
          <t>Part-Time Admin Wages</t>
        </is>
      </c>
      <c r="B18" s="6" t="n"/>
      <c r="C18" s="10">
        <f>C10*'Inputs'!$B$20*'Inputs'!$B$23</f>
        <v/>
      </c>
      <c r="D18" s="10">
        <f>D10*'Inputs'!$B$20*'Inputs'!$B$23</f>
        <v/>
      </c>
      <c r="E18" s="10">
        <f>E10*'Inputs'!$B$20*'Inputs'!$B$23</f>
        <v/>
      </c>
      <c r="F18" s="10">
        <f>F10*'Inputs'!$B$20*'Inputs'!$B$23</f>
        <v/>
      </c>
      <c r="G18" s="10">
        <f>G10*'Inputs'!$B$20*'Inputs'!$B$23</f>
        <v/>
      </c>
      <c r="H18" s="10">
        <f>H10*'Inputs'!$B$20*'Inputs'!$B$23</f>
        <v/>
      </c>
      <c r="I18" s="10">
        <f>I10*'Inputs'!$B$20*'Inputs'!$B$23</f>
        <v/>
      </c>
      <c r="J18" s="10">
        <f>J10*'Inputs'!$B$20*'Inputs'!$B$23</f>
        <v/>
      </c>
      <c r="K18" s="10">
        <f>K10*'Inputs'!$B$20*'Inputs'!$B$23</f>
        <v/>
      </c>
      <c r="L18" s="10">
        <f>L10*'Inputs'!$B$20*'Inputs'!$B$23</f>
        <v/>
      </c>
      <c r="M18" s="10">
        <f>M10*'Inputs'!$B$20*'Inputs'!$B$23</f>
        <v/>
      </c>
      <c r="N18" s="10">
        <f>N10*'Inputs'!$B$20*'Inputs'!$B$23</f>
        <v/>
      </c>
      <c r="O18" s="10">
        <f>SUM(C18:N18)</f>
        <v/>
      </c>
    </row>
    <row r="19">
      <c r="A19" s="12" t="inlineStr">
        <is>
          <t>GROSS WAGES SUBTOTAL</t>
        </is>
      </c>
      <c r="B19" s="12" t="n"/>
      <c r="C19" s="13">
        <f>C16+C17+C18</f>
        <v/>
      </c>
      <c r="D19" s="13">
        <f>D16+D17+D18</f>
        <v/>
      </c>
      <c r="E19" s="13">
        <f>E16+E17+E18</f>
        <v/>
      </c>
      <c r="F19" s="13">
        <f>F16+F17+F18</f>
        <v/>
      </c>
      <c r="G19" s="13">
        <f>G16+G17+G18</f>
        <v/>
      </c>
      <c r="H19" s="13">
        <f>H16+H17+H18</f>
        <v/>
      </c>
      <c r="I19" s="13">
        <f>I16+I17+I18</f>
        <v/>
      </c>
      <c r="J19" s="13">
        <f>J16+J17+J18</f>
        <v/>
      </c>
      <c r="K19" s="13">
        <f>K16+K17+K18</f>
        <v/>
      </c>
      <c r="L19" s="13">
        <f>L16+L17+L18</f>
        <v/>
      </c>
      <c r="M19" s="13">
        <f>M16+M17+M18</f>
        <v/>
      </c>
      <c r="N19" s="13">
        <f>N16+N17+N18</f>
        <v/>
      </c>
      <c r="O19" s="13">
        <f>SUM(C19:N19)</f>
        <v/>
      </c>
    </row>
    <row r="20">
      <c r="A20" s="6" t="inlineStr">
        <is>
          <t>Payroll Taxes (FICA)</t>
        </is>
      </c>
      <c r="B20" s="6" t="n"/>
      <c r="C20" s="10">
        <f>C19*'Inputs'!$B$31</f>
        <v/>
      </c>
      <c r="D20" s="10">
        <f>D19*'Inputs'!$B$31</f>
        <v/>
      </c>
      <c r="E20" s="10">
        <f>E19*'Inputs'!$B$31</f>
        <v/>
      </c>
      <c r="F20" s="10">
        <f>F19*'Inputs'!$B$31</f>
        <v/>
      </c>
      <c r="G20" s="10">
        <f>G19*'Inputs'!$B$31</f>
        <v/>
      </c>
      <c r="H20" s="10">
        <f>H19*'Inputs'!$B$31</f>
        <v/>
      </c>
      <c r="I20" s="10">
        <f>I19*'Inputs'!$B$31</f>
        <v/>
      </c>
      <c r="J20" s="10">
        <f>J19*'Inputs'!$B$31</f>
        <v/>
      </c>
      <c r="K20" s="10">
        <f>K19*'Inputs'!$B$31</f>
        <v/>
      </c>
      <c r="L20" s="10">
        <f>L19*'Inputs'!$B$31</f>
        <v/>
      </c>
      <c r="M20" s="10">
        <f>M19*'Inputs'!$B$31</f>
        <v/>
      </c>
      <c r="N20" s="10">
        <f>N19*'Inputs'!$B$31</f>
        <v/>
      </c>
      <c r="O20" s="10">
        <f>SUM(C20:N20)</f>
        <v/>
      </c>
    </row>
    <row r="21">
      <c r="A21" s="4" t="inlineStr">
        <is>
          <t>Workers Compensation</t>
        </is>
      </c>
      <c r="B21" s="4" t="n"/>
      <c r="C21" s="11">
        <f>C19*'Inputs'!$B$32</f>
        <v/>
      </c>
      <c r="D21" s="11">
        <f>D19*'Inputs'!$B$32</f>
        <v/>
      </c>
      <c r="E21" s="11">
        <f>E19*'Inputs'!$B$32</f>
        <v/>
      </c>
      <c r="F21" s="11">
        <f>F19*'Inputs'!$B$32</f>
        <v/>
      </c>
      <c r="G21" s="11">
        <f>G19*'Inputs'!$B$32</f>
        <v/>
      </c>
      <c r="H21" s="11">
        <f>H19*'Inputs'!$B$32</f>
        <v/>
      </c>
      <c r="I21" s="11">
        <f>I19*'Inputs'!$B$32</f>
        <v/>
      </c>
      <c r="J21" s="11">
        <f>J19*'Inputs'!$B$32</f>
        <v/>
      </c>
      <c r="K21" s="11">
        <f>K19*'Inputs'!$B$32</f>
        <v/>
      </c>
      <c r="L21" s="11">
        <f>L19*'Inputs'!$B$32</f>
        <v/>
      </c>
      <c r="M21" s="11">
        <f>M19*'Inputs'!$B$32</f>
        <v/>
      </c>
      <c r="N21" s="11">
        <f>N19*'Inputs'!$B$32</f>
        <v/>
      </c>
      <c r="O21" s="11">
        <f>SUM(C21:N21)</f>
        <v/>
      </c>
    </row>
    <row r="22">
      <c r="A22" s="6" t="inlineStr">
        <is>
          <t>Employee Benefits</t>
        </is>
      </c>
      <c r="B22" s="6" t="inlineStr">
        <is>
          <t>FT employees only</t>
        </is>
      </c>
      <c r="C22" s="10">
        <f>(C8+C9)*'Inputs'!$B$33</f>
        <v/>
      </c>
      <c r="D22" s="10">
        <f>(D8+D9)*'Inputs'!$B$33</f>
        <v/>
      </c>
      <c r="E22" s="10">
        <f>(E8+E9)*'Inputs'!$B$33</f>
        <v/>
      </c>
      <c r="F22" s="10">
        <f>(F8+F9)*'Inputs'!$B$33</f>
        <v/>
      </c>
      <c r="G22" s="10">
        <f>(G8+G9)*'Inputs'!$B$33</f>
        <v/>
      </c>
      <c r="H22" s="10">
        <f>(H8+H9)*'Inputs'!$B$33</f>
        <v/>
      </c>
      <c r="I22" s="10">
        <f>(I8+I9)*'Inputs'!$B$33</f>
        <v/>
      </c>
      <c r="J22" s="10">
        <f>(J8+J9)*'Inputs'!$B$33</f>
        <v/>
      </c>
      <c r="K22" s="10">
        <f>(K8+K9)*'Inputs'!$B$33</f>
        <v/>
      </c>
      <c r="L22" s="10">
        <f>(L8+L9)*'Inputs'!$B$33</f>
        <v/>
      </c>
      <c r="M22" s="10">
        <f>(M8+M9)*'Inputs'!$B$33</f>
        <v/>
      </c>
      <c r="N22" s="10">
        <f>(N8+N9)*'Inputs'!$B$33</f>
        <v/>
      </c>
      <c r="O22" s="10">
        <f>SUM(C22:N22)</f>
        <v/>
      </c>
    </row>
    <row r="23">
      <c r="A23" s="12" t="inlineStr">
        <is>
          <t>TOTAL LABOR COST (All-In)</t>
        </is>
      </c>
      <c r="B23" s="12" t="n"/>
      <c r="C23" s="13">
        <f>C19+C20+C21+C22</f>
        <v/>
      </c>
      <c r="D23" s="13">
        <f>D19+D20+D21+D22</f>
        <v/>
      </c>
      <c r="E23" s="13">
        <f>E19+E20+E21+E22</f>
        <v/>
      </c>
      <c r="F23" s="13">
        <f>F19+F20+F21+F22</f>
        <v/>
      </c>
      <c r="G23" s="13">
        <f>G19+G20+G21+G22</f>
        <v/>
      </c>
      <c r="H23" s="13">
        <f>H19+H20+H21+H22</f>
        <v/>
      </c>
      <c r="I23" s="13">
        <f>I19+I20+I21+I22</f>
        <v/>
      </c>
      <c r="J23" s="13">
        <f>J19+J20+J21+J22</f>
        <v/>
      </c>
      <c r="K23" s="13">
        <f>K19+K20+K21+K22</f>
        <v/>
      </c>
      <c r="L23" s="13">
        <f>L19+L20+L21+L22</f>
        <v/>
      </c>
      <c r="M23" s="13">
        <f>M19+M20+M21+M22</f>
        <v/>
      </c>
      <c r="N23" s="13">
        <f>N19+N20+N21+N22</f>
        <v/>
      </c>
      <c r="O23" s="13">
        <f>SUM(C23:N23)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A017"/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HAVANA CLEANING — REVENUE PROJECTIONS (YEAR 1)</t>
        </is>
      </c>
    </row>
    <row r="2">
      <c r="A2" s="2" t="inlineStr">
        <is>
          <t>Edit monthly job counts (yellow). Prices pull from Inputs sheet.</t>
        </is>
      </c>
    </row>
    <row r="4">
      <c r="A4" s="14" t="inlineStr">
        <is>
          <t>MONTHLY JOB COUNTS (editable)</t>
        </is>
      </c>
    </row>
    <row r="6">
      <c r="A6" s="9" t="inlineStr">
        <is>
          <t>SERVICE TYPE</t>
        </is>
      </c>
      <c r="B6" s="9" t="inlineStr">
        <is>
          <t>PRICE SOURCE</t>
        </is>
      </c>
      <c r="C6" s="9" t="inlineStr">
        <is>
          <t>M1</t>
        </is>
      </c>
      <c r="D6" s="9" t="inlineStr">
        <is>
          <t>M2</t>
        </is>
      </c>
      <c r="E6" s="9" t="inlineStr">
        <is>
          <t>M3</t>
        </is>
      </c>
      <c r="F6" s="9" t="inlineStr">
        <is>
          <t>M4</t>
        </is>
      </c>
      <c r="G6" s="9" t="inlineStr">
        <is>
          <t>M5</t>
        </is>
      </c>
      <c r="H6" s="9" t="inlineStr">
        <is>
          <t>M6</t>
        </is>
      </c>
      <c r="I6" s="9" t="inlineStr">
        <is>
          <t>M7</t>
        </is>
      </c>
      <c r="J6" s="9" t="inlineStr">
        <is>
          <t>M8</t>
        </is>
      </c>
      <c r="K6" s="9" t="inlineStr">
        <is>
          <t>M9</t>
        </is>
      </c>
      <c r="L6" s="9" t="inlineStr">
        <is>
          <t>M10</t>
        </is>
      </c>
      <c r="M6" s="9" t="inlineStr">
        <is>
          <t>M11</t>
        </is>
      </c>
      <c r="N6" s="9" t="inlineStr">
        <is>
          <t>M12</t>
        </is>
      </c>
      <c r="O6" s="9" t="inlineStr">
        <is>
          <t>ANNUAL JOBS</t>
        </is>
      </c>
    </row>
    <row r="7">
      <c r="A7" s="4" t="inlineStr">
        <is>
          <t>Residential Cleaning</t>
        </is>
      </c>
      <c r="B7" s="4" t="inlineStr">
        <is>
          <t>Inputs B5</t>
        </is>
      </c>
      <c r="C7" s="8" t="n">
        <v>8</v>
      </c>
      <c r="D7" s="8" t="n">
        <v>10</v>
      </c>
      <c r="E7" s="8" t="n">
        <v>14</v>
      </c>
      <c r="F7" s="8" t="n">
        <v>18</v>
      </c>
      <c r="G7" s="8" t="n">
        <v>22</v>
      </c>
      <c r="H7" s="8" t="n">
        <v>25</v>
      </c>
      <c r="I7" s="8" t="n">
        <v>28</v>
      </c>
      <c r="J7" s="8" t="n">
        <v>30</v>
      </c>
      <c r="K7" s="8" t="n">
        <v>33</v>
      </c>
      <c r="L7" s="8" t="n">
        <v>36</v>
      </c>
      <c r="M7" s="8" t="n">
        <v>40</v>
      </c>
      <c r="N7" s="8" t="n">
        <v>45</v>
      </c>
      <c r="O7" s="15">
        <f>SUM(C7:N7)</f>
        <v/>
      </c>
    </row>
    <row r="8">
      <c r="A8" s="6" t="inlineStr">
        <is>
          <t>Deep Clean</t>
        </is>
      </c>
      <c r="B8" s="6" t="inlineStr">
        <is>
          <t>Inputs B6</t>
        </is>
      </c>
      <c r="C8" s="8" t="n">
        <v>2</v>
      </c>
      <c r="D8" s="8" t="n">
        <v>3</v>
      </c>
      <c r="E8" s="8" t="n">
        <v>4</v>
      </c>
      <c r="F8" s="8" t="n">
        <v>5</v>
      </c>
      <c r="G8" s="8" t="n">
        <v>6</v>
      </c>
      <c r="H8" s="8" t="n">
        <v>7</v>
      </c>
      <c r="I8" s="8" t="n">
        <v>8</v>
      </c>
      <c r="J8" s="8" t="n">
        <v>8</v>
      </c>
      <c r="K8" s="8" t="n">
        <v>9</v>
      </c>
      <c r="L8" s="8" t="n">
        <v>10</v>
      </c>
      <c r="M8" s="8" t="n">
        <v>11</v>
      </c>
      <c r="N8" s="8" t="n">
        <v>12</v>
      </c>
      <c r="O8" s="16">
        <f>SUM(C8:N8)</f>
        <v/>
      </c>
    </row>
    <row r="9">
      <c r="A9" s="4" t="inlineStr">
        <is>
          <t>Move-In/Move-Out</t>
        </is>
      </c>
      <c r="B9" s="4" t="inlineStr">
        <is>
          <t>Inputs B7</t>
        </is>
      </c>
      <c r="C9" s="8" t="n">
        <v>1</v>
      </c>
      <c r="D9" s="8" t="n">
        <v>1</v>
      </c>
      <c r="E9" s="8" t="n">
        <v>2</v>
      </c>
      <c r="F9" s="8" t="n">
        <v>2</v>
      </c>
      <c r="G9" s="8" t="n">
        <v>3</v>
      </c>
      <c r="H9" s="8" t="n">
        <v>3</v>
      </c>
      <c r="I9" s="8" t="n">
        <v>4</v>
      </c>
      <c r="J9" s="8" t="n">
        <v>4</v>
      </c>
      <c r="K9" s="8" t="n">
        <v>5</v>
      </c>
      <c r="L9" s="8" t="n">
        <v>5</v>
      </c>
      <c r="M9" s="8" t="n">
        <v>6</v>
      </c>
      <c r="N9" s="8" t="n">
        <v>6</v>
      </c>
      <c r="O9" s="15">
        <f>SUM(C9:N9)</f>
        <v/>
      </c>
    </row>
    <row r="10">
      <c r="A10" s="6" t="inlineStr">
        <is>
          <t>Post-Construction</t>
        </is>
      </c>
      <c r="B10" s="6" t="inlineStr">
        <is>
          <t>Inputs B8</t>
        </is>
      </c>
      <c r="C10" s="8" t="n">
        <v>0</v>
      </c>
      <c r="D10" s="8" t="n">
        <v>1</v>
      </c>
      <c r="E10" s="8" t="n">
        <v>1</v>
      </c>
      <c r="F10" s="8" t="n">
        <v>1</v>
      </c>
      <c r="G10" s="8" t="n">
        <v>2</v>
      </c>
      <c r="H10" s="8" t="n">
        <v>2</v>
      </c>
      <c r="I10" s="8" t="n">
        <v>2</v>
      </c>
      <c r="J10" s="8" t="n">
        <v>3</v>
      </c>
      <c r="K10" s="8" t="n">
        <v>3</v>
      </c>
      <c r="L10" s="8" t="n">
        <v>3</v>
      </c>
      <c r="M10" s="8" t="n">
        <v>4</v>
      </c>
      <c r="N10" s="8" t="n">
        <v>4</v>
      </c>
      <c r="O10" s="16">
        <f>SUM(C10:N10)</f>
        <v/>
      </c>
    </row>
    <row r="11">
      <c r="A11" s="4" t="inlineStr">
        <is>
          <t>Airbnb Turnover</t>
        </is>
      </c>
      <c r="B11" s="4" t="inlineStr">
        <is>
          <t>Inputs B9</t>
        </is>
      </c>
      <c r="C11" s="8" t="n">
        <v>2</v>
      </c>
      <c r="D11" s="8" t="n">
        <v>3</v>
      </c>
      <c r="E11" s="8" t="n">
        <v>4</v>
      </c>
      <c r="F11" s="8" t="n">
        <v>5</v>
      </c>
      <c r="G11" s="8" t="n">
        <v>6</v>
      </c>
      <c r="H11" s="8" t="n">
        <v>8</v>
      </c>
      <c r="I11" s="8" t="n">
        <v>10</v>
      </c>
      <c r="J11" s="8" t="n">
        <v>12</v>
      </c>
      <c r="K11" s="8" t="n">
        <v>10</v>
      </c>
      <c r="L11" s="8" t="n">
        <v>8</v>
      </c>
      <c r="M11" s="8" t="n">
        <v>6</v>
      </c>
      <c r="N11" s="8" t="n">
        <v>8</v>
      </c>
      <c r="O11" s="15">
        <f>SUM(C11:N11)</f>
        <v/>
      </c>
    </row>
    <row r="12">
      <c r="A12" s="6" t="inlineStr">
        <is>
          <t>Green Clean</t>
        </is>
      </c>
      <c r="B12" s="6" t="inlineStr">
        <is>
          <t>Inputs B10</t>
        </is>
      </c>
      <c r="C12" s="8" t="n">
        <v>1</v>
      </c>
      <c r="D12" s="8" t="n">
        <v>1</v>
      </c>
      <c r="E12" s="8" t="n">
        <v>2</v>
      </c>
      <c r="F12" s="8" t="n">
        <v>2</v>
      </c>
      <c r="G12" s="8" t="n">
        <v>3</v>
      </c>
      <c r="H12" s="8" t="n">
        <v>3</v>
      </c>
      <c r="I12" s="8" t="n">
        <v>4</v>
      </c>
      <c r="J12" s="8" t="n">
        <v>4</v>
      </c>
      <c r="K12" s="8" t="n">
        <v>5</v>
      </c>
      <c r="L12" s="8" t="n">
        <v>5</v>
      </c>
      <c r="M12" s="8" t="n">
        <v>6</v>
      </c>
      <c r="N12" s="8" t="n">
        <v>6</v>
      </c>
      <c r="O12" s="16">
        <f>SUM(C12:N12)</f>
        <v/>
      </c>
    </row>
    <row r="13">
      <c r="A13" s="4" t="inlineStr">
        <is>
          <t>Recurring Plans</t>
        </is>
      </c>
      <c r="B13" s="4" t="inlineStr">
        <is>
          <t>Inputs B11</t>
        </is>
      </c>
      <c r="C13" s="8" t="n">
        <v>3</v>
      </c>
      <c r="D13" s="8" t="n">
        <v>5</v>
      </c>
      <c r="E13" s="8" t="n">
        <v>8</v>
      </c>
      <c r="F13" s="8" t="n">
        <v>12</v>
      </c>
      <c r="G13" s="8" t="n">
        <v>16</v>
      </c>
      <c r="H13" s="8" t="n">
        <v>20</v>
      </c>
      <c r="I13" s="8" t="n">
        <v>24</v>
      </c>
      <c r="J13" s="8" t="n">
        <v>28</v>
      </c>
      <c r="K13" s="8" t="n">
        <v>32</v>
      </c>
      <c r="L13" s="8" t="n">
        <v>36</v>
      </c>
      <c r="M13" s="8" t="n">
        <v>40</v>
      </c>
      <c r="N13" s="8" t="n">
        <v>44</v>
      </c>
      <c r="O13" s="15">
        <f>SUM(C13:N13)</f>
        <v/>
      </c>
    </row>
    <row r="14">
      <c r="A14" s="6" t="inlineStr">
        <is>
          <t>Commercial (Monthly)</t>
        </is>
      </c>
      <c r="B14" s="6" t="inlineStr">
        <is>
          <t>Inputs B12</t>
        </is>
      </c>
      <c r="C14" s="8" t="n">
        <v>0</v>
      </c>
      <c r="D14" s="8" t="n">
        <v>0</v>
      </c>
      <c r="E14" s="8" t="n">
        <v>0</v>
      </c>
      <c r="F14" s="8" t="n">
        <v>1</v>
      </c>
      <c r="G14" s="8" t="n">
        <v>1</v>
      </c>
      <c r="H14" s="8" t="n">
        <v>1</v>
      </c>
      <c r="I14" s="8" t="n">
        <v>2</v>
      </c>
      <c r="J14" s="8" t="n">
        <v>2</v>
      </c>
      <c r="K14" s="8" t="n">
        <v>2</v>
      </c>
      <c r="L14" s="8" t="n">
        <v>3</v>
      </c>
      <c r="M14" s="8" t="n">
        <v>3</v>
      </c>
      <c r="N14" s="8" t="n">
        <v>3</v>
      </c>
      <c r="O14" s="16">
        <f>SUM(C14:N14)</f>
        <v/>
      </c>
    </row>
    <row r="15">
      <c r="A15" s="12" t="inlineStr">
        <is>
          <t>TOTAL JOBS</t>
        </is>
      </c>
      <c r="B15" s="12" t="n"/>
      <c r="C15" s="17">
        <f>SUM(C7:C14)</f>
        <v/>
      </c>
      <c r="D15" s="17">
        <f>SUM(D7:D14)</f>
        <v/>
      </c>
      <c r="E15" s="17">
        <f>SUM(E7:E14)</f>
        <v/>
      </c>
      <c r="F15" s="17">
        <f>SUM(F7:F14)</f>
        <v/>
      </c>
      <c r="G15" s="17">
        <f>SUM(G7:G14)</f>
        <v/>
      </c>
      <c r="H15" s="17">
        <f>SUM(H7:H14)</f>
        <v/>
      </c>
      <c r="I15" s="17">
        <f>SUM(I7:I14)</f>
        <v/>
      </c>
      <c r="J15" s="17">
        <f>SUM(J7:J14)</f>
        <v/>
      </c>
      <c r="K15" s="17">
        <f>SUM(K7:K14)</f>
        <v/>
      </c>
      <c r="L15" s="17">
        <f>SUM(L7:L14)</f>
        <v/>
      </c>
      <c r="M15" s="17">
        <f>SUM(M7:M14)</f>
        <v/>
      </c>
      <c r="N15" s="17">
        <f>SUM(N7:N14)</f>
        <v/>
      </c>
      <c r="O15" s="17">
        <f>SUM(C15:N15)</f>
        <v/>
      </c>
    </row>
    <row r="17">
      <c r="A17" s="14" t="inlineStr">
        <is>
          <t>MONTHLY REVENUE BY SERVICE (auto-calculated: jobs x price)</t>
        </is>
      </c>
    </row>
    <row r="19">
      <c r="A19" s="9" t="inlineStr">
        <is>
          <t>SERVICE TYPE</t>
        </is>
      </c>
      <c r="B19" s="9" t="inlineStr">
        <is>
          <t>UNIT PRICE</t>
        </is>
      </c>
      <c r="C19" s="9" t="inlineStr">
        <is>
          <t>M1</t>
        </is>
      </c>
      <c r="D19" s="9" t="inlineStr">
        <is>
          <t>M2</t>
        </is>
      </c>
      <c r="E19" s="9" t="inlineStr">
        <is>
          <t>M3</t>
        </is>
      </c>
      <c r="F19" s="9" t="inlineStr">
        <is>
          <t>M4</t>
        </is>
      </c>
      <c r="G19" s="9" t="inlineStr">
        <is>
          <t>M5</t>
        </is>
      </c>
      <c r="H19" s="9" t="inlineStr">
        <is>
          <t>M6</t>
        </is>
      </c>
      <c r="I19" s="9" t="inlineStr">
        <is>
          <t>M7</t>
        </is>
      </c>
      <c r="J19" s="9" t="inlineStr">
        <is>
          <t>M8</t>
        </is>
      </c>
      <c r="K19" s="9" t="inlineStr">
        <is>
          <t>M9</t>
        </is>
      </c>
      <c r="L19" s="9" t="inlineStr">
        <is>
          <t>M10</t>
        </is>
      </c>
      <c r="M19" s="9" t="inlineStr">
        <is>
          <t>M11</t>
        </is>
      </c>
      <c r="N19" s="9" t="inlineStr">
        <is>
          <t>M12</t>
        </is>
      </c>
      <c r="O19" s="9" t="inlineStr">
        <is>
          <t>ANNUAL REV</t>
        </is>
      </c>
    </row>
    <row r="20">
      <c r="A20" s="6" t="inlineStr">
        <is>
          <t>Residential Cleaning</t>
        </is>
      </c>
      <c r="B20" s="10">
        <f>'Inputs'!$B$5</f>
        <v/>
      </c>
      <c r="C20" s="10">
        <f>C7*'Inputs'!$B$5</f>
        <v/>
      </c>
      <c r="D20" s="10">
        <f>D7*'Inputs'!$B$5</f>
        <v/>
      </c>
      <c r="E20" s="10">
        <f>E7*'Inputs'!$B$5</f>
        <v/>
      </c>
      <c r="F20" s="10">
        <f>F7*'Inputs'!$B$5</f>
        <v/>
      </c>
      <c r="G20" s="10">
        <f>G7*'Inputs'!$B$5</f>
        <v/>
      </c>
      <c r="H20" s="10">
        <f>H7*'Inputs'!$B$5</f>
        <v/>
      </c>
      <c r="I20" s="10">
        <f>I7*'Inputs'!$B$5</f>
        <v/>
      </c>
      <c r="J20" s="10">
        <f>J7*'Inputs'!$B$5</f>
        <v/>
      </c>
      <c r="K20" s="10">
        <f>K7*'Inputs'!$B$5</f>
        <v/>
      </c>
      <c r="L20" s="10">
        <f>L7*'Inputs'!$B$5</f>
        <v/>
      </c>
      <c r="M20" s="10">
        <f>M7*'Inputs'!$B$5</f>
        <v/>
      </c>
      <c r="N20" s="10">
        <f>N7*'Inputs'!$B$5</f>
        <v/>
      </c>
      <c r="O20" s="10">
        <f>SUM(C20:N20)</f>
        <v/>
      </c>
    </row>
    <row r="21">
      <c r="A21" s="4" t="inlineStr">
        <is>
          <t>Deep Clean</t>
        </is>
      </c>
      <c r="B21" s="11">
        <f>'Inputs'!$B$6</f>
        <v/>
      </c>
      <c r="C21" s="11">
        <f>C8*'Inputs'!$B$6</f>
        <v/>
      </c>
      <c r="D21" s="11">
        <f>D8*'Inputs'!$B$6</f>
        <v/>
      </c>
      <c r="E21" s="11">
        <f>E8*'Inputs'!$B$6</f>
        <v/>
      </c>
      <c r="F21" s="11">
        <f>F8*'Inputs'!$B$6</f>
        <v/>
      </c>
      <c r="G21" s="11">
        <f>G8*'Inputs'!$B$6</f>
        <v/>
      </c>
      <c r="H21" s="11">
        <f>H8*'Inputs'!$B$6</f>
        <v/>
      </c>
      <c r="I21" s="11">
        <f>I8*'Inputs'!$B$6</f>
        <v/>
      </c>
      <c r="J21" s="11">
        <f>J8*'Inputs'!$B$6</f>
        <v/>
      </c>
      <c r="K21" s="11">
        <f>K8*'Inputs'!$B$6</f>
        <v/>
      </c>
      <c r="L21" s="11">
        <f>L8*'Inputs'!$B$6</f>
        <v/>
      </c>
      <c r="M21" s="11">
        <f>M8*'Inputs'!$B$6</f>
        <v/>
      </c>
      <c r="N21" s="11">
        <f>N8*'Inputs'!$B$6</f>
        <v/>
      </c>
      <c r="O21" s="11">
        <f>SUM(C21:N21)</f>
        <v/>
      </c>
    </row>
    <row r="22">
      <c r="A22" s="6" t="inlineStr">
        <is>
          <t>Move-In/Move-Out</t>
        </is>
      </c>
      <c r="B22" s="10">
        <f>'Inputs'!$B$7</f>
        <v/>
      </c>
      <c r="C22" s="10">
        <f>C9*'Inputs'!$B$7</f>
        <v/>
      </c>
      <c r="D22" s="10">
        <f>D9*'Inputs'!$B$7</f>
        <v/>
      </c>
      <c r="E22" s="10">
        <f>E9*'Inputs'!$B$7</f>
        <v/>
      </c>
      <c r="F22" s="10">
        <f>F9*'Inputs'!$B$7</f>
        <v/>
      </c>
      <c r="G22" s="10">
        <f>G9*'Inputs'!$B$7</f>
        <v/>
      </c>
      <c r="H22" s="10">
        <f>H9*'Inputs'!$B$7</f>
        <v/>
      </c>
      <c r="I22" s="10">
        <f>I9*'Inputs'!$B$7</f>
        <v/>
      </c>
      <c r="J22" s="10">
        <f>J9*'Inputs'!$B$7</f>
        <v/>
      </c>
      <c r="K22" s="10">
        <f>K9*'Inputs'!$B$7</f>
        <v/>
      </c>
      <c r="L22" s="10">
        <f>L9*'Inputs'!$B$7</f>
        <v/>
      </c>
      <c r="M22" s="10">
        <f>M9*'Inputs'!$B$7</f>
        <v/>
      </c>
      <c r="N22" s="10">
        <f>N9*'Inputs'!$B$7</f>
        <v/>
      </c>
      <c r="O22" s="10">
        <f>SUM(C22:N22)</f>
        <v/>
      </c>
    </row>
    <row r="23">
      <c r="A23" s="4" t="inlineStr">
        <is>
          <t>Post-Construction</t>
        </is>
      </c>
      <c r="B23" s="11">
        <f>'Inputs'!$B$8</f>
        <v/>
      </c>
      <c r="C23" s="11">
        <f>C10*'Inputs'!$B$8</f>
        <v/>
      </c>
      <c r="D23" s="11">
        <f>D10*'Inputs'!$B$8</f>
        <v/>
      </c>
      <c r="E23" s="11">
        <f>E10*'Inputs'!$B$8</f>
        <v/>
      </c>
      <c r="F23" s="11">
        <f>F10*'Inputs'!$B$8</f>
        <v/>
      </c>
      <c r="G23" s="11">
        <f>G10*'Inputs'!$B$8</f>
        <v/>
      </c>
      <c r="H23" s="11">
        <f>H10*'Inputs'!$B$8</f>
        <v/>
      </c>
      <c r="I23" s="11">
        <f>I10*'Inputs'!$B$8</f>
        <v/>
      </c>
      <c r="J23" s="11">
        <f>J10*'Inputs'!$B$8</f>
        <v/>
      </c>
      <c r="K23" s="11">
        <f>K10*'Inputs'!$B$8</f>
        <v/>
      </c>
      <c r="L23" s="11">
        <f>L10*'Inputs'!$B$8</f>
        <v/>
      </c>
      <c r="M23" s="11">
        <f>M10*'Inputs'!$B$8</f>
        <v/>
      </c>
      <c r="N23" s="11">
        <f>N10*'Inputs'!$B$8</f>
        <v/>
      </c>
      <c r="O23" s="11">
        <f>SUM(C23:N23)</f>
        <v/>
      </c>
    </row>
    <row r="24">
      <c r="A24" s="6" t="inlineStr">
        <is>
          <t>Airbnb Turnover</t>
        </is>
      </c>
      <c r="B24" s="10">
        <f>'Inputs'!$B$9</f>
        <v/>
      </c>
      <c r="C24" s="10">
        <f>C11*'Inputs'!$B$9</f>
        <v/>
      </c>
      <c r="D24" s="10">
        <f>D11*'Inputs'!$B$9</f>
        <v/>
      </c>
      <c r="E24" s="10">
        <f>E11*'Inputs'!$B$9</f>
        <v/>
      </c>
      <c r="F24" s="10">
        <f>F11*'Inputs'!$B$9</f>
        <v/>
      </c>
      <c r="G24" s="10">
        <f>G11*'Inputs'!$B$9</f>
        <v/>
      </c>
      <c r="H24" s="10">
        <f>H11*'Inputs'!$B$9</f>
        <v/>
      </c>
      <c r="I24" s="10">
        <f>I11*'Inputs'!$B$9</f>
        <v/>
      </c>
      <c r="J24" s="10">
        <f>J11*'Inputs'!$B$9</f>
        <v/>
      </c>
      <c r="K24" s="10">
        <f>K11*'Inputs'!$B$9</f>
        <v/>
      </c>
      <c r="L24" s="10">
        <f>L11*'Inputs'!$B$9</f>
        <v/>
      </c>
      <c r="M24" s="10">
        <f>M11*'Inputs'!$B$9</f>
        <v/>
      </c>
      <c r="N24" s="10">
        <f>N11*'Inputs'!$B$9</f>
        <v/>
      </c>
      <c r="O24" s="10">
        <f>SUM(C24:N24)</f>
        <v/>
      </c>
    </row>
    <row r="25">
      <c r="A25" s="4" t="inlineStr">
        <is>
          <t>Green Clean</t>
        </is>
      </c>
      <c r="B25" s="11">
        <f>'Inputs'!$B$10</f>
        <v/>
      </c>
      <c r="C25" s="11">
        <f>C12*'Inputs'!$B$10</f>
        <v/>
      </c>
      <c r="D25" s="11">
        <f>D12*'Inputs'!$B$10</f>
        <v/>
      </c>
      <c r="E25" s="11">
        <f>E12*'Inputs'!$B$10</f>
        <v/>
      </c>
      <c r="F25" s="11">
        <f>F12*'Inputs'!$B$10</f>
        <v/>
      </c>
      <c r="G25" s="11">
        <f>G12*'Inputs'!$B$10</f>
        <v/>
      </c>
      <c r="H25" s="11">
        <f>H12*'Inputs'!$B$10</f>
        <v/>
      </c>
      <c r="I25" s="11">
        <f>I12*'Inputs'!$B$10</f>
        <v/>
      </c>
      <c r="J25" s="11">
        <f>J12*'Inputs'!$B$10</f>
        <v/>
      </c>
      <c r="K25" s="11">
        <f>K12*'Inputs'!$B$10</f>
        <v/>
      </c>
      <c r="L25" s="11">
        <f>L12*'Inputs'!$B$10</f>
        <v/>
      </c>
      <c r="M25" s="11">
        <f>M12*'Inputs'!$B$10</f>
        <v/>
      </c>
      <c r="N25" s="11">
        <f>N12*'Inputs'!$B$10</f>
        <v/>
      </c>
      <c r="O25" s="11">
        <f>SUM(C25:N25)</f>
        <v/>
      </c>
    </row>
    <row r="26">
      <c r="A26" s="6" t="inlineStr">
        <is>
          <t>Recurring Plans</t>
        </is>
      </c>
      <c r="B26" s="10">
        <f>'Inputs'!$B$11</f>
        <v/>
      </c>
      <c r="C26" s="10">
        <f>C13*'Inputs'!$B$11</f>
        <v/>
      </c>
      <c r="D26" s="10">
        <f>D13*'Inputs'!$B$11</f>
        <v/>
      </c>
      <c r="E26" s="10">
        <f>E13*'Inputs'!$B$11</f>
        <v/>
      </c>
      <c r="F26" s="10">
        <f>F13*'Inputs'!$B$11</f>
        <v/>
      </c>
      <c r="G26" s="10">
        <f>G13*'Inputs'!$B$11</f>
        <v/>
      </c>
      <c r="H26" s="10">
        <f>H13*'Inputs'!$B$11</f>
        <v/>
      </c>
      <c r="I26" s="10">
        <f>I13*'Inputs'!$B$11</f>
        <v/>
      </c>
      <c r="J26" s="10">
        <f>J13*'Inputs'!$B$11</f>
        <v/>
      </c>
      <c r="K26" s="10">
        <f>K13*'Inputs'!$B$11</f>
        <v/>
      </c>
      <c r="L26" s="10">
        <f>L13*'Inputs'!$B$11</f>
        <v/>
      </c>
      <c r="M26" s="10">
        <f>M13*'Inputs'!$B$11</f>
        <v/>
      </c>
      <c r="N26" s="10">
        <f>N13*'Inputs'!$B$11</f>
        <v/>
      </c>
      <c r="O26" s="10">
        <f>SUM(C26:N26)</f>
        <v/>
      </c>
    </row>
    <row r="27">
      <c r="A27" s="4" t="inlineStr">
        <is>
          <t>Commercial (Monthly)</t>
        </is>
      </c>
      <c r="B27" s="11">
        <f>'Inputs'!$B$12</f>
        <v/>
      </c>
      <c r="C27" s="11">
        <f>C14*'Inputs'!$B$12</f>
        <v/>
      </c>
      <c r="D27" s="11">
        <f>D14*'Inputs'!$B$12</f>
        <v/>
      </c>
      <c r="E27" s="11">
        <f>E14*'Inputs'!$B$12</f>
        <v/>
      </c>
      <c r="F27" s="11">
        <f>F14*'Inputs'!$B$12</f>
        <v/>
      </c>
      <c r="G27" s="11">
        <f>G14*'Inputs'!$B$12</f>
        <v/>
      </c>
      <c r="H27" s="11">
        <f>H14*'Inputs'!$B$12</f>
        <v/>
      </c>
      <c r="I27" s="11">
        <f>I14*'Inputs'!$B$12</f>
        <v/>
      </c>
      <c r="J27" s="11">
        <f>J14*'Inputs'!$B$12</f>
        <v/>
      </c>
      <c r="K27" s="11">
        <f>K14*'Inputs'!$B$12</f>
        <v/>
      </c>
      <c r="L27" s="11">
        <f>L14*'Inputs'!$B$12</f>
        <v/>
      </c>
      <c r="M27" s="11">
        <f>M14*'Inputs'!$B$12</f>
        <v/>
      </c>
      <c r="N27" s="11">
        <f>N14*'Inputs'!$B$12</f>
        <v/>
      </c>
      <c r="O27" s="11">
        <f>SUM(C27:N27)</f>
        <v/>
      </c>
    </row>
    <row r="28">
      <c r="A28" s="6" t="inlineStr">
        <is>
          <t>Add-On Services Revenue</t>
        </is>
      </c>
      <c r="B28" s="10">
        <f>'Inputs'!$B$13</f>
        <v/>
      </c>
      <c r="C28" s="10">
        <f>(C15-C14)*'Inputs'!$B$13*'Inputs'!$B$14</f>
        <v/>
      </c>
      <c r="D28" s="10">
        <f>(D15-D14)*'Inputs'!$B$13*'Inputs'!$B$14</f>
        <v/>
      </c>
      <c r="E28" s="10">
        <f>(E15-E14)*'Inputs'!$B$13*'Inputs'!$B$14</f>
        <v/>
      </c>
      <c r="F28" s="10">
        <f>(F15-F14)*'Inputs'!$B$13*'Inputs'!$B$14</f>
        <v/>
      </c>
      <c r="G28" s="10">
        <f>(G15-G14)*'Inputs'!$B$13*'Inputs'!$B$14</f>
        <v/>
      </c>
      <c r="H28" s="10">
        <f>(H15-H14)*'Inputs'!$B$13*'Inputs'!$B$14</f>
        <v/>
      </c>
      <c r="I28" s="10">
        <f>(I15-I14)*'Inputs'!$B$13*'Inputs'!$B$14</f>
        <v/>
      </c>
      <c r="J28" s="10">
        <f>(J15-J14)*'Inputs'!$B$13*'Inputs'!$B$14</f>
        <v/>
      </c>
      <c r="K28" s="10">
        <f>(K15-K14)*'Inputs'!$B$13*'Inputs'!$B$14</f>
        <v/>
      </c>
      <c r="L28" s="10">
        <f>(L15-L14)*'Inputs'!$B$13*'Inputs'!$B$14</f>
        <v/>
      </c>
      <c r="M28" s="10">
        <f>(M15-M14)*'Inputs'!$B$13*'Inputs'!$B$14</f>
        <v/>
      </c>
      <c r="N28" s="10">
        <f>(N15-N14)*'Inputs'!$B$13*'Inputs'!$B$14</f>
        <v/>
      </c>
      <c r="O28" s="10">
        <f>SUM(C28:N28)</f>
        <v/>
      </c>
    </row>
    <row r="29">
      <c r="A29" s="12" t="inlineStr">
        <is>
          <t>TOTAL GROSS REVENUE</t>
        </is>
      </c>
      <c r="B29" s="12" t="n"/>
      <c r="C29" s="13">
        <f>SUM(C20:C28)</f>
        <v/>
      </c>
      <c r="D29" s="13">
        <f>SUM(D20:D28)</f>
        <v/>
      </c>
      <c r="E29" s="13">
        <f>SUM(E20:E28)</f>
        <v/>
      </c>
      <c r="F29" s="13">
        <f>SUM(F20:F28)</f>
        <v/>
      </c>
      <c r="G29" s="13">
        <f>SUM(G20:G28)</f>
        <v/>
      </c>
      <c r="H29" s="13">
        <f>SUM(H20:H28)</f>
        <v/>
      </c>
      <c r="I29" s="13">
        <f>SUM(I20:I28)</f>
        <v/>
      </c>
      <c r="J29" s="13">
        <f>SUM(J20:J28)</f>
        <v/>
      </c>
      <c r="K29" s="13">
        <f>SUM(K20:K28)</f>
        <v/>
      </c>
      <c r="L29" s="13">
        <f>SUM(L20:L28)</f>
        <v/>
      </c>
      <c r="M29" s="13">
        <f>SUM(M20:M28)</f>
        <v/>
      </c>
      <c r="N29" s="13">
        <f>SUM(N20:N28)</f>
        <v/>
      </c>
      <c r="O29" s="13">
        <f>SUM(C29:N29)</f>
        <v/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4D3E"/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HAVANA CLEANING — MONTHLY OPERATING EXPENSES (YEAR 1)</t>
        </is>
      </c>
    </row>
    <row r="2">
      <c r="A2" s="2" t="inlineStr">
        <is>
          <t>Edit monthly amounts (yellow). Category totals and grand total auto-calculate.</t>
        </is>
      </c>
    </row>
    <row r="4">
      <c r="A4" s="9" t="inlineStr">
        <is>
          <t>EXPENSE CATEGORY</t>
        </is>
      </c>
      <c r="B4" s="9" t="inlineStr">
        <is>
          <t>DETAIL</t>
        </is>
      </c>
      <c r="C4" s="9" t="inlineStr">
        <is>
          <t>M1</t>
        </is>
      </c>
      <c r="D4" s="9" t="inlineStr">
        <is>
          <t>M2</t>
        </is>
      </c>
      <c r="E4" s="9" t="inlineStr">
        <is>
          <t>M3</t>
        </is>
      </c>
      <c r="F4" s="9" t="inlineStr">
        <is>
          <t>M4</t>
        </is>
      </c>
      <c r="G4" s="9" t="inlineStr">
        <is>
          <t>M5</t>
        </is>
      </c>
      <c r="H4" s="9" t="inlineStr">
        <is>
          <t>M6</t>
        </is>
      </c>
      <c r="I4" s="9" t="inlineStr">
        <is>
          <t>M7</t>
        </is>
      </c>
      <c r="J4" s="9" t="inlineStr">
        <is>
          <t>M8</t>
        </is>
      </c>
      <c r="K4" s="9" t="inlineStr">
        <is>
          <t>M9</t>
        </is>
      </c>
      <c r="L4" s="9" t="inlineStr">
        <is>
          <t>M10</t>
        </is>
      </c>
      <c r="M4" s="9" t="inlineStr">
        <is>
          <t>M11</t>
        </is>
      </c>
      <c r="N4" s="9" t="inlineStr">
        <is>
          <t>M12</t>
        </is>
      </c>
      <c r="O4" s="9" t="inlineStr">
        <is>
          <t>ANNUAL</t>
        </is>
      </c>
    </row>
    <row r="5">
      <c r="A5" s="3" t="inlineStr">
        <is>
          <t>VEHICLE EXPENSES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6" t="n"/>
      <c r="B6" s="6" t="inlineStr">
        <is>
          <t>Gas (per vehicle)</t>
        </is>
      </c>
      <c r="C6" s="10">
        <f>'Inputs'!$B$36*'Inputs'!$B$25</f>
        <v/>
      </c>
      <c r="D6" s="10">
        <f>'Inputs'!$B$36*'Inputs'!$B$25</f>
        <v/>
      </c>
      <c r="E6" s="10">
        <f>'Inputs'!$B$36*'Inputs'!$B$25</f>
        <v/>
      </c>
      <c r="F6" s="10">
        <f>'Inputs'!$B$36*'Inputs'!$B$25</f>
        <v/>
      </c>
      <c r="G6" s="10">
        <f>'Inputs'!$B$36*'Inputs'!$B$25</f>
        <v/>
      </c>
      <c r="H6" s="10">
        <f>'Inputs'!$B$36*'Inputs'!$B$25</f>
        <v/>
      </c>
      <c r="I6" s="10">
        <f>'Inputs'!$B$36*'Inputs'!$B$25</f>
        <v/>
      </c>
      <c r="J6" s="10">
        <f>'Inputs'!$B$36*'Inputs'!$B$25</f>
        <v/>
      </c>
      <c r="K6" s="10">
        <f>'Inputs'!$B$36*'Inputs'!$B$25</f>
        <v/>
      </c>
      <c r="L6" s="10">
        <f>'Inputs'!$B$36*'Inputs'!$B$25</f>
        <v/>
      </c>
      <c r="M6" s="10">
        <f>'Inputs'!$B$36*'Inputs'!$B$25</f>
        <v/>
      </c>
      <c r="N6" s="10">
        <f>'Inputs'!$B$36*'Inputs'!$B$25</f>
        <v/>
      </c>
      <c r="O6" s="10">
        <f>SUM(C6:N6)</f>
        <v/>
      </c>
    </row>
    <row r="7">
      <c r="A7" s="4" t="n"/>
      <c r="B7" s="4" t="inlineStr">
        <is>
          <t>Vehicle Insurance (per vehicle)</t>
        </is>
      </c>
      <c r="C7" s="11">
        <f>'Inputs'!$B$37</f>
        <v/>
      </c>
      <c r="D7" s="11">
        <f>'Inputs'!$B$37</f>
        <v/>
      </c>
      <c r="E7" s="11">
        <f>'Inputs'!$B$37</f>
        <v/>
      </c>
      <c r="F7" s="11">
        <f>'Inputs'!$B$37</f>
        <v/>
      </c>
      <c r="G7" s="11">
        <f>'Inputs'!$B$37</f>
        <v/>
      </c>
      <c r="H7" s="11">
        <f>'Inputs'!$B$37</f>
        <v/>
      </c>
      <c r="I7" s="11">
        <f>'Inputs'!$B$37</f>
        <v/>
      </c>
      <c r="J7" s="11">
        <f>'Inputs'!$B$37</f>
        <v/>
      </c>
      <c r="K7" s="11">
        <f>'Inputs'!$B$37</f>
        <v/>
      </c>
      <c r="L7" s="11">
        <f>'Inputs'!$B$37</f>
        <v/>
      </c>
      <c r="M7" s="11">
        <f>'Inputs'!$B$37</f>
        <v/>
      </c>
      <c r="N7" s="11">
        <f>'Inputs'!$B$37</f>
        <v/>
      </c>
      <c r="O7" s="11">
        <f>SUM(C7:N7)</f>
        <v/>
      </c>
    </row>
    <row r="8">
      <c r="A8" s="6" t="n"/>
      <c r="B8" s="6" t="inlineStr">
        <is>
          <t>Vehicle Maintenance</t>
        </is>
      </c>
      <c r="C8" s="10">
        <f>'Inputs'!$B$38</f>
        <v/>
      </c>
      <c r="D8" s="10">
        <f>'Inputs'!$B$38</f>
        <v/>
      </c>
      <c r="E8" s="10">
        <f>'Inputs'!$B$38</f>
        <v/>
      </c>
      <c r="F8" s="10">
        <f>'Inputs'!$B$38</f>
        <v/>
      </c>
      <c r="G8" s="10">
        <f>'Inputs'!$B$38</f>
        <v/>
      </c>
      <c r="H8" s="10">
        <f>'Inputs'!$B$38</f>
        <v/>
      </c>
      <c r="I8" s="10">
        <f>'Inputs'!$B$38</f>
        <v/>
      </c>
      <c r="J8" s="10">
        <f>'Inputs'!$B$38</f>
        <v/>
      </c>
      <c r="K8" s="10">
        <f>'Inputs'!$B$38</f>
        <v/>
      </c>
      <c r="L8" s="10">
        <f>'Inputs'!$B$38</f>
        <v/>
      </c>
      <c r="M8" s="10">
        <f>'Inputs'!$B$38</f>
        <v/>
      </c>
      <c r="N8" s="10">
        <f>'Inputs'!$B$38</f>
        <v/>
      </c>
      <c r="O8" s="10">
        <f>SUM(C8:N8)</f>
        <v/>
      </c>
    </row>
    <row r="9">
      <c r="A9" s="4" t="n"/>
      <c r="B9" s="4" t="inlineStr">
        <is>
          <t>Parking &amp; Tolls</t>
        </is>
      </c>
      <c r="C9" s="11">
        <f>'Inputs'!$B$39</f>
        <v/>
      </c>
      <c r="D9" s="11">
        <f>'Inputs'!$B$39</f>
        <v/>
      </c>
      <c r="E9" s="11">
        <f>'Inputs'!$B$39</f>
        <v/>
      </c>
      <c r="F9" s="11">
        <f>'Inputs'!$B$39</f>
        <v/>
      </c>
      <c r="G9" s="11">
        <f>'Inputs'!$B$39</f>
        <v/>
      </c>
      <c r="H9" s="11">
        <f>'Inputs'!$B$39</f>
        <v/>
      </c>
      <c r="I9" s="11">
        <f>'Inputs'!$B$39</f>
        <v/>
      </c>
      <c r="J9" s="11">
        <f>'Inputs'!$B$39</f>
        <v/>
      </c>
      <c r="K9" s="11">
        <f>'Inputs'!$B$39</f>
        <v/>
      </c>
      <c r="L9" s="11">
        <f>'Inputs'!$B$39</f>
        <v/>
      </c>
      <c r="M9" s="11">
        <f>'Inputs'!$B$39</f>
        <v/>
      </c>
      <c r="N9" s="11">
        <f>'Inputs'!$B$39</f>
        <v/>
      </c>
      <c r="O9" s="11">
        <f>SUM(C9:N9)</f>
        <v/>
      </c>
    </row>
    <row r="10">
      <c r="A10" s="12" t="n"/>
      <c r="B10" s="12" t="inlineStr">
        <is>
          <t>VEHICLE EXPENSES SUBTOTAL</t>
        </is>
      </c>
      <c r="C10" s="13">
        <f>SUM(C6:C9)</f>
        <v/>
      </c>
      <c r="D10" s="13">
        <f>SUM(D6:D9)</f>
        <v/>
      </c>
      <c r="E10" s="13">
        <f>SUM(E6:E9)</f>
        <v/>
      </c>
      <c r="F10" s="13">
        <f>SUM(F6:F9)</f>
        <v/>
      </c>
      <c r="G10" s="13">
        <f>SUM(G6:G9)</f>
        <v/>
      </c>
      <c r="H10" s="13">
        <f>SUM(H6:H9)</f>
        <v/>
      </c>
      <c r="I10" s="13">
        <f>SUM(I6:I9)</f>
        <v/>
      </c>
      <c r="J10" s="13">
        <f>SUM(J6:J9)</f>
        <v/>
      </c>
      <c r="K10" s="13">
        <f>SUM(K6:K9)</f>
        <v/>
      </c>
      <c r="L10" s="13">
        <f>SUM(L6:L9)</f>
        <v/>
      </c>
      <c r="M10" s="13">
        <f>SUM(M6:M9)</f>
        <v/>
      </c>
      <c r="N10" s="13">
        <f>SUM(N6:N9)</f>
        <v/>
      </c>
      <c r="O10" s="13">
        <f>SUM(C10:N10)</f>
        <v/>
      </c>
    </row>
    <row r="11">
      <c r="A11" s="3" t="inlineStr">
        <is>
          <t>INSURANCE &amp; LICENSES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6" t="n"/>
      <c r="B12" s="6" t="inlineStr">
        <is>
          <t>General Liability Insurance</t>
        </is>
      </c>
      <c r="C12" s="10">
        <f>'Inputs'!$B$48</f>
        <v/>
      </c>
      <c r="D12" s="10">
        <f>'Inputs'!$B$48</f>
        <v/>
      </c>
      <c r="E12" s="10">
        <f>'Inputs'!$B$48</f>
        <v/>
      </c>
      <c r="F12" s="10">
        <f>'Inputs'!$B$48</f>
        <v/>
      </c>
      <c r="G12" s="10">
        <f>'Inputs'!$B$48</f>
        <v/>
      </c>
      <c r="H12" s="10">
        <f>'Inputs'!$B$48</f>
        <v/>
      </c>
      <c r="I12" s="10">
        <f>'Inputs'!$B$48</f>
        <v/>
      </c>
      <c r="J12" s="10">
        <f>'Inputs'!$B$48</f>
        <v/>
      </c>
      <c r="K12" s="10">
        <f>'Inputs'!$B$48</f>
        <v/>
      </c>
      <c r="L12" s="10">
        <f>'Inputs'!$B$48</f>
        <v/>
      </c>
      <c r="M12" s="10">
        <f>'Inputs'!$B$48</f>
        <v/>
      </c>
      <c r="N12" s="10">
        <f>'Inputs'!$B$48</f>
        <v/>
      </c>
      <c r="O12" s="10">
        <f>SUM(C12:N12)</f>
        <v/>
      </c>
    </row>
    <row r="13">
      <c r="A13" s="4" t="n"/>
      <c r="B13" s="4" t="inlineStr">
        <is>
          <t>Workers Compensation Insurance</t>
        </is>
      </c>
      <c r="C13" s="11">
        <f>'Inputs'!$B$49</f>
        <v/>
      </c>
      <c r="D13" s="11">
        <f>'Inputs'!$B$49</f>
        <v/>
      </c>
      <c r="E13" s="11">
        <f>'Inputs'!$B$49</f>
        <v/>
      </c>
      <c r="F13" s="11">
        <f>'Inputs'!$B$49</f>
        <v/>
      </c>
      <c r="G13" s="11">
        <f>'Inputs'!$B$49</f>
        <v/>
      </c>
      <c r="H13" s="11">
        <f>'Inputs'!$B$49</f>
        <v/>
      </c>
      <c r="I13" s="11">
        <f>'Inputs'!$B$49</f>
        <v/>
      </c>
      <c r="J13" s="11">
        <f>'Inputs'!$B$49</f>
        <v/>
      </c>
      <c r="K13" s="11">
        <f>'Inputs'!$B$49</f>
        <v/>
      </c>
      <c r="L13" s="11">
        <f>'Inputs'!$B$49</f>
        <v/>
      </c>
      <c r="M13" s="11">
        <f>'Inputs'!$B$49</f>
        <v/>
      </c>
      <c r="N13" s="11">
        <f>'Inputs'!$B$49</f>
        <v/>
      </c>
      <c r="O13" s="11">
        <f>SUM(C13:N13)</f>
        <v/>
      </c>
    </row>
    <row r="14">
      <c r="A14" s="6" t="n"/>
      <c r="B14" s="6" t="inlineStr">
        <is>
          <t>Surety Bond</t>
        </is>
      </c>
      <c r="C14" s="10">
        <f>'Inputs'!$B$50</f>
        <v/>
      </c>
      <c r="D14" s="10">
        <f>'Inputs'!$B$50</f>
        <v/>
      </c>
      <c r="E14" s="10">
        <f>'Inputs'!$B$50</f>
        <v/>
      </c>
      <c r="F14" s="10">
        <f>'Inputs'!$B$50</f>
        <v/>
      </c>
      <c r="G14" s="10">
        <f>'Inputs'!$B$50</f>
        <v/>
      </c>
      <c r="H14" s="10">
        <f>'Inputs'!$B$50</f>
        <v/>
      </c>
      <c r="I14" s="10">
        <f>'Inputs'!$B$50</f>
        <v/>
      </c>
      <c r="J14" s="10">
        <f>'Inputs'!$B$50</f>
        <v/>
      </c>
      <c r="K14" s="10">
        <f>'Inputs'!$B$50</f>
        <v/>
      </c>
      <c r="L14" s="10">
        <f>'Inputs'!$B$50</f>
        <v/>
      </c>
      <c r="M14" s="10">
        <f>'Inputs'!$B$50</f>
        <v/>
      </c>
      <c r="N14" s="10">
        <f>'Inputs'!$B$50</f>
        <v/>
      </c>
      <c r="O14" s="10">
        <f>SUM(C14:N14)</f>
        <v/>
      </c>
    </row>
    <row r="15">
      <c r="A15" s="12" t="n"/>
      <c r="B15" s="12" t="inlineStr">
        <is>
          <t>INSURANCE &amp; LICENSES SUBTOTAL</t>
        </is>
      </c>
      <c r="C15" s="13">
        <f>SUM(C12:C14)</f>
        <v/>
      </c>
      <c r="D15" s="13">
        <f>SUM(D12:D14)</f>
        <v/>
      </c>
      <c r="E15" s="13">
        <f>SUM(E12:E14)</f>
        <v/>
      </c>
      <c r="F15" s="13">
        <f>SUM(F12:F14)</f>
        <v/>
      </c>
      <c r="G15" s="13">
        <f>SUM(G12:G14)</f>
        <v/>
      </c>
      <c r="H15" s="13">
        <f>SUM(H12:H14)</f>
        <v/>
      </c>
      <c r="I15" s="13">
        <f>SUM(I12:I14)</f>
        <v/>
      </c>
      <c r="J15" s="13">
        <f>SUM(J12:J14)</f>
        <v/>
      </c>
      <c r="K15" s="13">
        <f>SUM(K12:K14)</f>
        <v/>
      </c>
      <c r="L15" s="13">
        <f>SUM(L12:L14)</f>
        <v/>
      </c>
      <c r="M15" s="13">
        <f>SUM(M12:M14)</f>
        <v/>
      </c>
      <c r="N15" s="13">
        <f>SUM(N12:N14)</f>
        <v/>
      </c>
      <c r="O15" s="13">
        <f>SUM(C15:N15)</f>
        <v/>
      </c>
    </row>
    <row r="16">
      <c r="A16" s="3" t="inlineStr">
        <is>
          <t>MARKETING &amp; ADVERTISING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4" t="n"/>
      <c r="B17" s="4" t="inlineStr">
        <is>
          <t>Google Ads (PPC)</t>
        </is>
      </c>
      <c r="C17" s="5" t="n">
        <v>800</v>
      </c>
      <c r="D17" s="5" t="n">
        <v>800</v>
      </c>
      <c r="E17" s="5" t="n">
        <v>900</v>
      </c>
      <c r="F17" s="5" t="n">
        <v>900</v>
      </c>
      <c r="G17" s="5" t="n">
        <v>1000</v>
      </c>
      <c r="H17" s="5" t="n">
        <v>1000</v>
      </c>
      <c r="I17" s="5" t="n">
        <v>1200</v>
      </c>
      <c r="J17" s="5" t="n">
        <v>1200</v>
      </c>
      <c r="K17" s="5" t="n">
        <v>1000</v>
      </c>
      <c r="L17" s="5" t="n">
        <v>1000</v>
      </c>
      <c r="M17" s="5" t="n">
        <v>1200</v>
      </c>
      <c r="N17" s="5" t="n">
        <v>1500</v>
      </c>
      <c r="O17" s="11">
        <f>SUM(C17:N17)</f>
        <v/>
      </c>
    </row>
    <row r="18">
      <c r="A18" s="6" t="n"/>
      <c r="B18" s="6" t="inlineStr">
        <is>
          <t>Facebook/Instagram Ads</t>
        </is>
      </c>
      <c r="C18" s="5" t="n">
        <v>500</v>
      </c>
      <c r="D18" s="5" t="n">
        <v>500</v>
      </c>
      <c r="E18" s="5" t="n">
        <v>600</v>
      </c>
      <c r="F18" s="5" t="n">
        <v>600</v>
      </c>
      <c r="G18" s="5" t="n">
        <v>700</v>
      </c>
      <c r="H18" s="5" t="n">
        <v>700</v>
      </c>
      <c r="I18" s="5" t="n">
        <v>800</v>
      </c>
      <c r="J18" s="5" t="n">
        <v>800</v>
      </c>
      <c r="K18" s="5" t="n">
        <v>700</v>
      </c>
      <c r="L18" s="5" t="n">
        <v>700</v>
      </c>
      <c r="M18" s="5" t="n">
        <v>800</v>
      </c>
      <c r="N18" s="5" t="n">
        <v>1000</v>
      </c>
      <c r="O18" s="10">
        <f>SUM(C18:N18)</f>
        <v/>
      </c>
    </row>
    <row r="19">
      <c r="A19" s="4" t="n"/>
      <c r="B19" s="4" t="inlineStr">
        <is>
          <t>Yelp Advertising</t>
        </is>
      </c>
      <c r="C19" s="5" t="n">
        <v>200</v>
      </c>
      <c r="D19" s="5" t="n">
        <v>200</v>
      </c>
      <c r="E19" s="5" t="n">
        <v>200</v>
      </c>
      <c r="F19" s="5" t="n">
        <v>200</v>
      </c>
      <c r="G19" s="5" t="n">
        <v>200</v>
      </c>
      <c r="H19" s="5" t="n">
        <v>200</v>
      </c>
      <c r="I19" s="5" t="n">
        <v>300</v>
      </c>
      <c r="J19" s="5" t="n">
        <v>300</v>
      </c>
      <c r="K19" s="5" t="n">
        <v>300</v>
      </c>
      <c r="L19" s="5" t="n">
        <v>300</v>
      </c>
      <c r="M19" s="5" t="n">
        <v>300</v>
      </c>
      <c r="N19" s="5" t="n">
        <v>300</v>
      </c>
      <c r="O19" s="11">
        <f>SUM(C19:N19)</f>
        <v/>
      </c>
    </row>
    <row r="20">
      <c r="A20" s="6" t="n"/>
      <c r="B20" s="6" t="inlineStr">
        <is>
          <t>Nextdoor / Local Ads</t>
        </is>
      </c>
      <c r="C20" s="5" t="n">
        <v>100</v>
      </c>
      <c r="D20" s="5" t="n">
        <v>100</v>
      </c>
      <c r="E20" s="5" t="n">
        <v>100</v>
      </c>
      <c r="F20" s="5" t="n">
        <v>100</v>
      </c>
      <c r="G20" s="5" t="n">
        <v>100</v>
      </c>
      <c r="H20" s="5" t="n">
        <v>100</v>
      </c>
      <c r="I20" s="5" t="n">
        <v>150</v>
      </c>
      <c r="J20" s="5" t="n">
        <v>150</v>
      </c>
      <c r="K20" s="5" t="n">
        <v>150</v>
      </c>
      <c r="L20" s="5" t="n">
        <v>150</v>
      </c>
      <c r="M20" s="5" t="n">
        <v>150</v>
      </c>
      <c r="N20" s="5" t="n">
        <v>150</v>
      </c>
      <c r="O20" s="10">
        <f>SUM(C20:N20)</f>
        <v/>
      </c>
    </row>
    <row r="21">
      <c r="A21" s="4" t="n"/>
      <c r="B21" s="4" t="inlineStr">
        <is>
          <t>Referral Program Costs</t>
        </is>
      </c>
      <c r="C21" s="5" t="n">
        <v>0</v>
      </c>
      <c r="D21" s="5" t="n">
        <v>25</v>
      </c>
      <c r="E21" s="5" t="n">
        <v>50</v>
      </c>
      <c r="F21" s="5" t="n">
        <v>75</v>
      </c>
      <c r="G21" s="5" t="n">
        <v>100</v>
      </c>
      <c r="H21" s="5" t="n">
        <v>125</v>
      </c>
      <c r="I21" s="5" t="n">
        <v>150</v>
      </c>
      <c r="J21" s="5" t="n">
        <v>175</v>
      </c>
      <c r="K21" s="5" t="n">
        <v>200</v>
      </c>
      <c r="L21" s="5" t="n">
        <v>225</v>
      </c>
      <c r="M21" s="5" t="n">
        <v>250</v>
      </c>
      <c r="N21" s="5" t="n">
        <v>275</v>
      </c>
      <c r="O21" s="11">
        <f>SUM(C21:N21)</f>
        <v/>
      </c>
    </row>
    <row r="22">
      <c r="A22" s="6" t="n"/>
      <c r="B22" s="6" t="inlineStr">
        <is>
          <t>Printed Materials</t>
        </is>
      </c>
      <c r="C22" s="5" t="n">
        <v>100</v>
      </c>
      <c r="D22" s="5" t="n">
        <v>50</v>
      </c>
      <c r="E22" s="5" t="n">
        <v>50</v>
      </c>
      <c r="F22" s="5" t="n">
        <v>50</v>
      </c>
      <c r="G22" s="5" t="n">
        <v>100</v>
      </c>
      <c r="H22" s="5" t="n">
        <v>50</v>
      </c>
      <c r="I22" s="5" t="n">
        <v>50</v>
      </c>
      <c r="J22" s="5" t="n">
        <v>50</v>
      </c>
      <c r="K22" s="5" t="n">
        <v>100</v>
      </c>
      <c r="L22" s="5" t="n">
        <v>50</v>
      </c>
      <c r="M22" s="5" t="n">
        <v>50</v>
      </c>
      <c r="N22" s="5" t="n">
        <v>100</v>
      </c>
      <c r="O22" s="10">
        <f>SUM(C22:N22)</f>
        <v/>
      </c>
    </row>
    <row r="23">
      <c r="A23" s="12" t="n"/>
      <c r="B23" s="12" t="inlineStr">
        <is>
          <t>MARKETING &amp; ADVERTISING SUBTOTAL</t>
        </is>
      </c>
      <c r="C23" s="13">
        <f>SUM(C17:C22)</f>
        <v/>
      </c>
      <c r="D23" s="13">
        <f>SUM(D17:D22)</f>
        <v/>
      </c>
      <c r="E23" s="13">
        <f>SUM(E17:E22)</f>
        <v/>
      </c>
      <c r="F23" s="13">
        <f>SUM(F17:F22)</f>
        <v/>
      </c>
      <c r="G23" s="13">
        <f>SUM(G17:G22)</f>
        <v/>
      </c>
      <c r="H23" s="13">
        <f>SUM(H17:H22)</f>
        <v/>
      </c>
      <c r="I23" s="13">
        <f>SUM(I17:I22)</f>
        <v/>
      </c>
      <c r="J23" s="13">
        <f>SUM(J17:J22)</f>
        <v/>
      </c>
      <c r="K23" s="13">
        <f>SUM(K17:K22)</f>
        <v/>
      </c>
      <c r="L23" s="13">
        <f>SUM(L17:L22)</f>
        <v/>
      </c>
      <c r="M23" s="13">
        <f>SUM(M17:M22)</f>
        <v/>
      </c>
      <c r="N23" s="13">
        <f>SUM(N17:N22)</f>
        <v/>
      </c>
      <c r="O23" s="13">
        <f>SUM(C23:N23)</f>
        <v/>
      </c>
    </row>
    <row r="24">
      <c r="A24" s="3" t="inlineStr">
        <is>
          <t>TECHNOLOGY &amp; SOFTWARE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4" t="n"/>
      <c r="B25" s="4" t="inlineStr">
        <is>
          <t>Website Hosting</t>
        </is>
      </c>
      <c r="C25" s="11">
        <f>'Inputs'!$B$53</f>
        <v/>
      </c>
      <c r="D25" s="11">
        <f>'Inputs'!$B$53</f>
        <v/>
      </c>
      <c r="E25" s="11">
        <f>'Inputs'!$B$53</f>
        <v/>
      </c>
      <c r="F25" s="11">
        <f>'Inputs'!$B$53</f>
        <v/>
      </c>
      <c r="G25" s="11">
        <f>'Inputs'!$B$53</f>
        <v/>
      </c>
      <c r="H25" s="11">
        <f>'Inputs'!$B$53</f>
        <v/>
      </c>
      <c r="I25" s="11">
        <f>'Inputs'!$B$53</f>
        <v/>
      </c>
      <c r="J25" s="11">
        <f>'Inputs'!$B$53</f>
        <v/>
      </c>
      <c r="K25" s="11">
        <f>'Inputs'!$B$53</f>
        <v/>
      </c>
      <c r="L25" s="11">
        <f>'Inputs'!$B$53</f>
        <v/>
      </c>
      <c r="M25" s="11">
        <f>'Inputs'!$B$53</f>
        <v/>
      </c>
      <c r="N25" s="11">
        <f>'Inputs'!$B$53</f>
        <v/>
      </c>
      <c r="O25" s="11">
        <f>SUM(C25:N25)</f>
        <v/>
      </c>
    </row>
    <row r="26">
      <c r="A26" s="6" t="n"/>
      <c r="B26" s="6" t="inlineStr">
        <is>
          <t>Scheduling/CRM</t>
        </is>
      </c>
      <c r="C26" s="10">
        <f>'Inputs'!$B$54</f>
        <v/>
      </c>
      <c r="D26" s="10">
        <f>'Inputs'!$B$54</f>
        <v/>
      </c>
      <c r="E26" s="10">
        <f>'Inputs'!$B$54</f>
        <v/>
      </c>
      <c r="F26" s="10">
        <f>'Inputs'!$B$54</f>
        <v/>
      </c>
      <c r="G26" s="10">
        <f>'Inputs'!$B$54</f>
        <v/>
      </c>
      <c r="H26" s="10">
        <f>'Inputs'!$B$54</f>
        <v/>
      </c>
      <c r="I26" s="10">
        <f>'Inputs'!$B$54</f>
        <v/>
      </c>
      <c r="J26" s="10">
        <f>'Inputs'!$B$54</f>
        <v/>
      </c>
      <c r="K26" s="10">
        <f>'Inputs'!$B$54</f>
        <v/>
      </c>
      <c r="L26" s="10">
        <f>'Inputs'!$B$54</f>
        <v/>
      </c>
      <c r="M26" s="10">
        <f>'Inputs'!$B$54</f>
        <v/>
      </c>
      <c r="N26" s="10">
        <f>'Inputs'!$B$54</f>
        <v/>
      </c>
      <c r="O26" s="10">
        <f>SUM(C26:N26)</f>
        <v/>
      </c>
    </row>
    <row r="27">
      <c r="A27" s="4" t="n"/>
      <c r="B27" s="4" t="inlineStr">
        <is>
          <t>QuickBooks</t>
        </is>
      </c>
      <c r="C27" s="11">
        <f>'Inputs'!$B$55</f>
        <v/>
      </c>
      <c r="D27" s="11">
        <f>'Inputs'!$B$55</f>
        <v/>
      </c>
      <c r="E27" s="11">
        <f>'Inputs'!$B$55</f>
        <v/>
      </c>
      <c r="F27" s="11">
        <f>'Inputs'!$B$55</f>
        <v/>
      </c>
      <c r="G27" s="11">
        <f>'Inputs'!$B$55</f>
        <v/>
      </c>
      <c r="H27" s="11">
        <f>'Inputs'!$B$55</f>
        <v/>
      </c>
      <c r="I27" s="11">
        <f>'Inputs'!$B$55</f>
        <v/>
      </c>
      <c r="J27" s="11">
        <f>'Inputs'!$B$55</f>
        <v/>
      </c>
      <c r="K27" s="11">
        <f>'Inputs'!$B$55</f>
        <v/>
      </c>
      <c r="L27" s="11">
        <f>'Inputs'!$B$55</f>
        <v/>
      </c>
      <c r="M27" s="11">
        <f>'Inputs'!$B$55</f>
        <v/>
      </c>
      <c r="N27" s="11">
        <f>'Inputs'!$B$55</f>
        <v/>
      </c>
      <c r="O27" s="11">
        <f>SUM(C27:N27)</f>
        <v/>
      </c>
    </row>
    <row r="28">
      <c r="A28" s="6" t="n"/>
      <c r="B28" s="6" t="inlineStr">
        <is>
          <t>Business Phone</t>
        </is>
      </c>
      <c r="C28" s="10">
        <f>'Inputs'!$B$56</f>
        <v/>
      </c>
      <c r="D28" s="10">
        <f>'Inputs'!$B$56</f>
        <v/>
      </c>
      <c r="E28" s="10">
        <f>'Inputs'!$B$56</f>
        <v/>
      </c>
      <c r="F28" s="10">
        <f>'Inputs'!$B$56</f>
        <v/>
      </c>
      <c r="G28" s="10">
        <f>'Inputs'!$B$56</f>
        <v/>
      </c>
      <c r="H28" s="10">
        <f>'Inputs'!$B$56</f>
        <v/>
      </c>
      <c r="I28" s="10">
        <f>'Inputs'!$B$56</f>
        <v/>
      </c>
      <c r="J28" s="10">
        <f>'Inputs'!$B$56</f>
        <v/>
      </c>
      <c r="K28" s="10">
        <f>'Inputs'!$B$56</f>
        <v/>
      </c>
      <c r="L28" s="10">
        <f>'Inputs'!$B$56</f>
        <v/>
      </c>
      <c r="M28" s="10">
        <f>'Inputs'!$B$56</f>
        <v/>
      </c>
      <c r="N28" s="10">
        <f>'Inputs'!$B$56</f>
        <v/>
      </c>
      <c r="O28" s="10">
        <f>SUM(C28:N28)</f>
        <v/>
      </c>
    </row>
    <row r="29">
      <c r="A29" s="4" t="n"/>
      <c r="B29" s="4" t="inlineStr">
        <is>
          <t>Stripe Processing Fees</t>
        </is>
      </c>
      <c r="C29" s="11">
        <f>'Revenue Projections'!C29*'Inputs'!$B$59+'Revenue Projections'!C15*'Inputs'!$B$60</f>
        <v/>
      </c>
      <c r="D29" s="11">
        <f>'Revenue Projections'!D29*'Inputs'!$B$59+'Revenue Projections'!D15*'Inputs'!$B$60</f>
        <v/>
      </c>
      <c r="E29" s="11">
        <f>'Revenue Projections'!E29*'Inputs'!$B$59+'Revenue Projections'!E15*'Inputs'!$B$60</f>
        <v/>
      </c>
      <c r="F29" s="11">
        <f>'Revenue Projections'!F29*'Inputs'!$B$59+'Revenue Projections'!F15*'Inputs'!$B$60</f>
        <v/>
      </c>
      <c r="G29" s="11">
        <f>'Revenue Projections'!G29*'Inputs'!$B$59+'Revenue Projections'!G15*'Inputs'!$B$60</f>
        <v/>
      </c>
      <c r="H29" s="11">
        <f>'Revenue Projections'!H29*'Inputs'!$B$59+'Revenue Projections'!H15*'Inputs'!$B$60</f>
        <v/>
      </c>
      <c r="I29" s="11">
        <f>'Revenue Projections'!I29*'Inputs'!$B$59+'Revenue Projections'!I15*'Inputs'!$B$60</f>
        <v/>
      </c>
      <c r="J29" s="11">
        <f>'Revenue Projections'!J29*'Inputs'!$B$59+'Revenue Projections'!J15*'Inputs'!$B$60</f>
        <v/>
      </c>
      <c r="K29" s="11">
        <f>'Revenue Projections'!K29*'Inputs'!$B$59+'Revenue Projections'!K15*'Inputs'!$B$60</f>
        <v/>
      </c>
      <c r="L29" s="11">
        <f>'Revenue Projections'!L29*'Inputs'!$B$59+'Revenue Projections'!L15*'Inputs'!$B$60</f>
        <v/>
      </c>
      <c r="M29" s="11">
        <f>'Revenue Projections'!M29*'Inputs'!$B$59+'Revenue Projections'!M15*'Inputs'!$B$60</f>
        <v/>
      </c>
      <c r="N29" s="11">
        <f>'Revenue Projections'!N29*'Inputs'!$B$59+'Revenue Projections'!N15*'Inputs'!$B$60</f>
        <v/>
      </c>
      <c r="O29" s="11">
        <f>SUM(C29:N29)</f>
        <v/>
      </c>
    </row>
    <row r="30">
      <c r="A30" s="6" t="n"/>
      <c r="B30" s="6" t="inlineStr">
        <is>
          <t>Internet</t>
        </is>
      </c>
      <c r="C30" s="10">
        <f>'Inputs'!$B$57</f>
        <v/>
      </c>
      <c r="D30" s="10">
        <f>'Inputs'!$B$57</f>
        <v/>
      </c>
      <c r="E30" s="10">
        <f>'Inputs'!$B$57</f>
        <v/>
      </c>
      <c r="F30" s="10">
        <f>'Inputs'!$B$57</f>
        <v/>
      </c>
      <c r="G30" s="10">
        <f>'Inputs'!$B$57</f>
        <v/>
      </c>
      <c r="H30" s="10">
        <f>'Inputs'!$B$57</f>
        <v/>
      </c>
      <c r="I30" s="10">
        <f>'Inputs'!$B$57</f>
        <v/>
      </c>
      <c r="J30" s="10">
        <f>'Inputs'!$B$57</f>
        <v/>
      </c>
      <c r="K30" s="10">
        <f>'Inputs'!$B$57</f>
        <v/>
      </c>
      <c r="L30" s="10">
        <f>'Inputs'!$B$57</f>
        <v/>
      </c>
      <c r="M30" s="10">
        <f>'Inputs'!$B$57</f>
        <v/>
      </c>
      <c r="N30" s="10">
        <f>'Inputs'!$B$57</f>
        <v/>
      </c>
      <c r="O30" s="10">
        <f>SUM(C30:N30)</f>
        <v/>
      </c>
    </row>
    <row r="31">
      <c r="A31" s="4" t="n"/>
      <c r="B31" s="4" t="inlineStr">
        <is>
          <t>Cell Phone Plans</t>
        </is>
      </c>
      <c r="C31" s="11">
        <f>'Inputs'!$B$58</f>
        <v/>
      </c>
      <c r="D31" s="11">
        <f>'Inputs'!$B$58</f>
        <v/>
      </c>
      <c r="E31" s="11">
        <f>'Inputs'!$B$58</f>
        <v/>
      </c>
      <c r="F31" s="11">
        <f>'Inputs'!$B$58</f>
        <v/>
      </c>
      <c r="G31" s="11">
        <f>'Inputs'!$B$58</f>
        <v/>
      </c>
      <c r="H31" s="11">
        <f>'Inputs'!$B$58</f>
        <v/>
      </c>
      <c r="I31" s="11">
        <f>'Inputs'!$B$58</f>
        <v/>
      </c>
      <c r="J31" s="11">
        <f>'Inputs'!$B$58</f>
        <v/>
      </c>
      <c r="K31" s="11">
        <f>'Inputs'!$B$58</f>
        <v/>
      </c>
      <c r="L31" s="11">
        <f>'Inputs'!$B$58</f>
        <v/>
      </c>
      <c r="M31" s="11">
        <f>'Inputs'!$B$58</f>
        <v/>
      </c>
      <c r="N31" s="11">
        <f>'Inputs'!$B$58</f>
        <v/>
      </c>
      <c r="O31" s="11">
        <f>SUM(C31:N31)</f>
        <v/>
      </c>
    </row>
    <row r="32">
      <c r="A32" s="12" t="n"/>
      <c r="B32" s="12" t="inlineStr">
        <is>
          <t>TECHNOLOGY &amp; SOFTWARE SUBTOTAL</t>
        </is>
      </c>
      <c r="C32" s="13">
        <f>SUM(C25:C31)</f>
        <v/>
      </c>
      <c r="D32" s="13">
        <f>SUM(D25:D31)</f>
        <v/>
      </c>
      <c r="E32" s="13">
        <f>SUM(E25:E31)</f>
        <v/>
      </c>
      <c r="F32" s="13">
        <f>SUM(F25:F31)</f>
        <v/>
      </c>
      <c r="G32" s="13">
        <f>SUM(G25:G31)</f>
        <v/>
      </c>
      <c r="H32" s="13">
        <f>SUM(H25:H31)</f>
        <v/>
      </c>
      <c r="I32" s="13">
        <f>SUM(I25:I31)</f>
        <v/>
      </c>
      <c r="J32" s="13">
        <f>SUM(J25:J31)</f>
        <v/>
      </c>
      <c r="K32" s="13">
        <f>SUM(K25:K31)</f>
        <v/>
      </c>
      <c r="L32" s="13">
        <f>SUM(L25:L31)</f>
        <v/>
      </c>
      <c r="M32" s="13">
        <f>SUM(M25:M31)</f>
        <v/>
      </c>
      <c r="N32" s="13">
        <f>SUM(N25:N31)</f>
        <v/>
      </c>
      <c r="O32" s="13">
        <f>SUM(C32:N32)</f>
        <v/>
      </c>
    </row>
    <row r="33">
      <c r="A33" s="3" t="inlineStr">
        <is>
          <t>CLEANING SUPPLIES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6" t="n"/>
      <c r="B34" s="6" t="inlineStr">
        <is>
          <t>Monthly Supply Costs</t>
        </is>
      </c>
      <c r="C34" s="10">
        <f>'Monthly Supply Costs'!D27</f>
        <v/>
      </c>
      <c r="D34" s="10">
        <f>'Monthly Supply Costs'!D27</f>
        <v/>
      </c>
      <c r="E34" s="10">
        <f>'Monthly Supply Costs'!D27</f>
        <v/>
      </c>
      <c r="F34" s="10">
        <f>'Monthly Supply Costs'!D27</f>
        <v/>
      </c>
      <c r="G34" s="10">
        <f>'Monthly Supply Costs'!D27</f>
        <v/>
      </c>
      <c r="H34" s="10">
        <f>'Monthly Supply Costs'!D27</f>
        <v/>
      </c>
      <c r="I34" s="10">
        <f>'Monthly Supply Costs'!D27</f>
        <v/>
      </c>
      <c r="J34" s="10">
        <f>'Monthly Supply Costs'!D27</f>
        <v/>
      </c>
      <c r="K34" s="10">
        <f>'Monthly Supply Costs'!D27</f>
        <v/>
      </c>
      <c r="L34" s="10">
        <f>'Monthly Supply Costs'!D27</f>
        <v/>
      </c>
      <c r="M34" s="10">
        <f>'Monthly Supply Costs'!D27</f>
        <v/>
      </c>
      <c r="N34" s="10">
        <f>'Monthly Supply Costs'!D27</f>
        <v/>
      </c>
      <c r="O34" s="10">
        <f>SUM(C34:N34)</f>
        <v/>
      </c>
    </row>
    <row r="35">
      <c r="A35" s="4" t="n"/>
      <c r="B35" s="4" t="inlineStr">
        <is>
          <t>Equipment Repair/Replace</t>
        </is>
      </c>
      <c r="C35" s="5" t="n">
        <v>75</v>
      </c>
      <c r="D35" s="5" t="n">
        <v>75</v>
      </c>
      <c r="E35" s="5" t="n">
        <v>75</v>
      </c>
      <c r="F35" s="5" t="n">
        <v>100</v>
      </c>
      <c r="G35" s="5" t="n">
        <v>100</v>
      </c>
      <c r="H35" s="5" t="n">
        <v>100</v>
      </c>
      <c r="I35" s="5" t="n">
        <v>125</v>
      </c>
      <c r="J35" s="5" t="n">
        <v>125</v>
      </c>
      <c r="K35" s="5" t="n">
        <v>125</v>
      </c>
      <c r="L35" s="5" t="n">
        <v>150</v>
      </c>
      <c r="M35" s="5" t="n">
        <v>150</v>
      </c>
      <c r="N35" s="5" t="n">
        <v>150</v>
      </c>
      <c r="O35" s="11">
        <f>SUM(C35:N35)</f>
        <v/>
      </c>
    </row>
    <row r="36">
      <c r="A36" s="12" t="n"/>
      <c r="B36" s="12" t="inlineStr">
        <is>
          <t>CLEANING SUPPLIES SUBTOTAL</t>
        </is>
      </c>
      <c r="C36" s="13">
        <f>SUM(C34:C35)</f>
        <v/>
      </c>
      <c r="D36" s="13">
        <f>SUM(D34:D35)</f>
        <v/>
      </c>
      <c r="E36" s="13">
        <f>SUM(E34:E35)</f>
        <v/>
      </c>
      <c r="F36" s="13">
        <f>SUM(F34:F35)</f>
        <v/>
      </c>
      <c r="G36" s="13">
        <f>SUM(G34:G35)</f>
        <v/>
      </c>
      <c r="H36" s="13">
        <f>SUM(H34:H35)</f>
        <v/>
      </c>
      <c r="I36" s="13">
        <f>SUM(I34:I35)</f>
        <v/>
      </c>
      <c r="J36" s="13">
        <f>SUM(J34:J35)</f>
        <v/>
      </c>
      <c r="K36" s="13">
        <f>SUM(K34:K35)</f>
        <v/>
      </c>
      <c r="L36" s="13">
        <f>SUM(L34:L35)</f>
        <v/>
      </c>
      <c r="M36" s="13">
        <f>SUM(M34:M35)</f>
        <v/>
      </c>
      <c r="N36" s="13">
        <f>SUM(N34:N35)</f>
        <v/>
      </c>
      <c r="O36" s="13">
        <f>SUM(C36:N36)</f>
        <v/>
      </c>
    </row>
    <row r="37">
      <c r="A37" s="3" t="inlineStr">
        <is>
          <t>OFFICE &amp; ADMIN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6" t="n"/>
      <c r="B38" s="6" t="inlineStr">
        <is>
          <t>Office Supplies</t>
        </is>
      </c>
      <c r="C38" s="10">
        <f>'Inputs'!$B$63</f>
        <v/>
      </c>
      <c r="D38" s="10">
        <f>'Inputs'!$B$63</f>
        <v/>
      </c>
      <c r="E38" s="10">
        <f>'Inputs'!$B$63</f>
        <v/>
      </c>
      <c r="F38" s="10">
        <f>'Inputs'!$B$63</f>
        <v/>
      </c>
      <c r="G38" s="10">
        <f>'Inputs'!$B$63</f>
        <v/>
      </c>
      <c r="H38" s="10">
        <f>'Inputs'!$B$63</f>
        <v/>
      </c>
      <c r="I38" s="10">
        <f>'Inputs'!$B$63</f>
        <v/>
      </c>
      <c r="J38" s="10">
        <f>'Inputs'!$B$63</f>
        <v/>
      </c>
      <c r="K38" s="10">
        <f>'Inputs'!$B$63</f>
        <v/>
      </c>
      <c r="L38" s="10">
        <f>'Inputs'!$B$63</f>
        <v/>
      </c>
      <c r="M38" s="10">
        <f>'Inputs'!$B$63</f>
        <v/>
      </c>
      <c r="N38" s="10">
        <f>'Inputs'!$B$63</f>
        <v/>
      </c>
      <c r="O38" s="10">
        <f>SUM(C38:N38)</f>
        <v/>
      </c>
    </row>
    <row r="39">
      <c r="A39" s="4" t="n"/>
      <c r="B39" s="4" t="inlineStr">
        <is>
          <t>Storage Unit</t>
        </is>
      </c>
      <c r="C39" s="11">
        <f>'Inputs'!$B$64</f>
        <v/>
      </c>
      <c r="D39" s="11">
        <f>'Inputs'!$B$64</f>
        <v/>
      </c>
      <c r="E39" s="11">
        <f>'Inputs'!$B$64</f>
        <v/>
      </c>
      <c r="F39" s="11">
        <f>'Inputs'!$B$64</f>
        <v/>
      </c>
      <c r="G39" s="11">
        <f>'Inputs'!$B$64</f>
        <v/>
      </c>
      <c r="H39" s="11">
        <f>'Inputs'!$B$64</f>
        <v/>
      </c>
      <c r="I39" s="11">
        <f>'Inputs'!$B$64</f>
        <v/>
      </c>
      <c r="J39" s="11">
        <f>'Inputs'!$B$64</f>
        <v/>
      </c>
      <c r="K39" s="11">
        <f>'Inputs'!$B$64</f>
        <v/>
      </c>
      <c r="L39" s="11">
        <f>'Inputs'!$B$64</f>
        <v/>
      </c>
      <c r="M39" s="11">
        <f>'Inputs'!$B$64</f>
        <v/>
      </c>
      <c r="N39" s="11">
        <f>'Inputs'!$B$64</f>
        <v/>
      </c>
      <c r="O39" s="11">
        <f>SUM(C39:N39)</f>
        <v/>
      </c>
    </row>
    <row r="40">
      <c r="A40" s="6" t="n"/>
      <c r="B40" s="6" t="inlineStr">
        <is>
          <t>Accounting Service</t>
        </is>
      </c>
      <c r="C40" s="10">
        <f>'Inputs'!$B$65</f>
        <v/>
      </c>
      <c r="D40" s="10">
        <f>'Inputs'!$B$65</f>
        <v/>
      </c>
      <c r="E40" s="10">
        <f>'Inputs'!$B$65</f>
        <v/>
      </c>
      <c r="F40" s="10">
        <f>'Inputs'!$B$65</f>
        <v/>
      </c>
      <c r="G40" s="10">
        <f>'Inputs'!$B$65</f>
        <v/>
      </c>
      <c r="H40" s="10">
        <f>'Inputs'!$B$65</f>
        <v/>
      </c>
      <c r="I40" s="10">
        <f>'Inputs'!$B$65</f>
        <v/>
      </c>
      <c r="J40" s="10">
        <f>'Inputs'!$B$65</f>
        <v/>
      </c>
      <c r="K40" s="10">
        <f>'Inputs'!$B$65</f>
        <v/>
      </c>
      <c r="L40" s="10">
        <f>'Inputs'!$B$65</f>
        <v/>
      </c>
      <c r="M40" s="10">
        <f>'Inputs'!$B$65</f>
        <v/>
      </c>
      <c r="N40" s="10">
        <f>'Inputs'!$B$65</f>
        <v/>
      </c>
      <c r="O40" s="10">
        <f>SUM(C40:N40)</f>
        <v/>
      </c>
    </row>
    <row r="41">
      <c r="A41" s="4" t="n"/>
      <c r="B41" s="4" t="inlineStr">
        <is>
          <t>Postage</t>
        </is>
      </c>
      <c r="C41" s="11">
        <f>'Inputs'!$B$66</f>
        <v/>
      </c>
      <c r="D41" s="11">
        <f>'Inputs'!$B$66</f>
        <v/>
      </c>
      <c r="E41" s="11">
        <f>'Inputs'!$B$66</f>
        <v/>
      </c>
      <c r="F41" s="11">
        <f>'Inputs'!$B$66</f>
        <v/>
      </c>
      <c r="G41" s="11">
        <f>'Inputs'!$B$66</f>
        <v/>
      </c>
      <c r="H41" s="11">
        <f>'Inputs'!$B$66</f>
        <v/>
      </c>
      <c r="I41" s="11">
        <f>'Inputs'!$B$66</f>
        <v/>
      </c>
      <c r="J41" s="11">
        <f>'Inputs'!$B$66</f>
        <v/>
      </c>
      <c r="K41" s="11">
        <f>'Inputs'!$B$66</f>
        <v/>
      </c>
      <c r="L41" s="11">
        <f>'Inputs'!$B$66</f>
        <v/>
      </c>
      <c r="M41" s="11">
        <f>'Inputs'!$B$66</f>
        <v/>
      </c>
      <c r="N41" s="11">
        <f>'Inputs'!$B$66</f>
        <v/>
      </c>
      <c r="O41" s="11">
        <f>SUM(C41:N41)</f>
        <v/>
      </c>
    </row>
    <row r="42">
      <c r="A42" s="12" t="n"/>
      <c r="B42" s="12" t="inlineStr">
        <is>
          <t>OFFICE &amp; ADMIN SUBTOTAL</t>
        </is>
      </c>
      <c r="C42" s="13">
        <f>SUM(C38:C41)</f>
        <v/>
      </c>
      <c r="D42" s="13">
        <f>SUM(D38:D41)</f>
        <v/>
      </c>
      <c r="E42" s="13">
        <f>SUM(E38:E41)</f>
        <v/>
      </c>
      <c r="F42" s="13">
        <f>SUM(F38:F41)</f>
        <v/>
      </c>
      <c r="G42" s="13">
        <f>SUM(G38:G41)</f>
        <v/>
      </c>
      <c r="H42" s="13">
        <f>SUM(H38:H41)</f>
        <v/>
      </c>
      <c r="I42" s="13">
        <f>SUM(I38:I41)</f>
        <v/>
      </c>
      <c r="J42" s="13">
        <f>SUM(J38:J41)</f>
        <v/>
      </c>
      <c r="K42" s="13">
        <f>SUM(K38:K41)</f>
        <v/>
      </c>
      <c r="L42" s="13">
        <f>SUM(L38:L41)</f>
        <v/>
      </c>
      <c r="M42" s="13">
        <f>SUM(M38:M41)</f>
        <v/>
      </c>
      <c r="N42" s="13">
        <f>SUM(N38:N41)</f>
        <v/>
      </c>
      <c r="O42" s="13">
        <f>SUM(C42:N42)</f>
        <v/>
      </c>
    </row>
    <row r="43">
      <c r="A43" s="3" t="inlineStr">
        <is>
          <t>PROFESSIONAL SERVICES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6" t="n"/>
      <c r="B44" s="6" t="inlineStr">
        <is>
          <t>Legal Retainer (quarterly)</t>
        </is>
      </c>
      <c r="C44" s="5" t="n">
        <v>0</v>
      </c>
      <c r="D44" s="5" t="n">
        <v>0</v>
      </c>
      <c r="E44" s="5" t="n">
        <v>375</v>
      </c>
      <c r="F44" s="5" t="n">
        <v>0</v>
      </c>
      <c r="G44" s="5" t="n">
        <v>0</v>
      </c>
      <c r="H44" s="5" t="n">
        <v>375</v>
      </c>
      <c r="I44" s="5" t="n">
        <v>0</v>
      </c>
      <c r="J44" s="5" t="n">
        <v>0</v>
      </c>
      <c r="K44" s="5" t="n">
        <v>375</v>
      </c>
      <c r="L44" s="5" t="n">
        <v>0</v>
      </c>
      <c r="M44" s="5" t="n">
        <v>0</v>
      </c>
      <c r="N44" s="5" t="n">
        <v>375</v>
      </c>
      <c r="O44" s="10">
        <f>SUM(C44:N44)</f>
        <v/>
      </c>
    </row>
    <row r="45">
      <c r="A45" s="4" t="n"/>
      <c r="B45" s="4" t="inlineStr">
        <is>
          <t>CPA/Tax Prep (quarterly)</t>
        </is>
      </c>
      <c r="C45" s="5" t="n">
        <v>0</v>
      </c>
      <c r="D45" s="5" t="n">
        <v>0</v>
      </c>
      <c r="E45" s="5" t="n">
        <v>200</v>
      </c>
      <c r="F45" s="5" t="n">
        <v>0</v>
      </c>
      <c r="G45" s="5" t="n">
        <v>0</v>
      </c>
      <c r="H45" s="5" t="n">
        <v>200</v>
      </c>
      <c r="I45" s="5" t="n">
        <v>0</v>
      </c>
      <c r="J45" s="5" t="n">
        <v>0</v>
      </c>
      <c r="K45" s="5" t="n">
        <v>200</v>
      </c>
      <c r="L45" s="5" t="n">
        <v>0</v>
      </c>
      <c r="M45" s="5" t="n">
        <v>0</v>
      </c>
      <c r="N45" s="5" t="n">
        <v>200</v>
      </c>
      <c r="O45" s="11">
        <f>SUM(C45:N45)</f>
        <v/>
      </c>
    </row>
    <row r="46">
      <c r="A46" s="12" t="n"/>
      <c r="B46" s="12" t="inlineStr">
        <is>
          <t>PROFESSIONAL SERVICES SUBTOTAL</t>
        </is>
      </c>
      <c r="C46" s="13">
        <f>SUM(C44:C45)</f>
        <v/>
      </c>
      <c r="D46" s="13">
        <f>SUM(D44:D45)</f>
        <v/>
      </c>
      <c r="E46" s="13">
        <f>SUM(E44:E45)</f>
        <v/>
      </c>
      <c r="F46" s="13">
        <f>SUM(F44:F45)</f>
        <v/>
      </c>
      <c r="G46" s="13">
        <f>SUM(G44:G45)</f>
        <v/>
      </c>
      <c r="H46" s="13">
        <f>SUM(H44:H45)</f>
        <v/>
      </c>
      <c r="I46" s="13">
        <f>SUM(I44:I45)</f>
        <v/>
      </c>
      <c r="J46" s="13">
        <f>SUM(J44:J45)</f>
        <v/>
      </c>
      <c r="K46" s="13">
        <f>SUM(K44:K45)</f>
        <v/>
      </c>
      <c r="L46" s="13">
        <f>SUM(L44:L45)</f>
        <v/>
      </c>
      <c r="M46" s="13">
        <f>SUM(M44:M45)</f>
        <v/>
      </c>
      <c r="N46" s="13">
        <f>SUM(N44:N45)</f>
        <v/>
      </c>
      <c r="O46" s="13">
        <f>SUM(C46:N46)</f>
        <v/>
      </c>
    </row>
    <row r="47">
      <c r="A47" s="3" t="inlineStr">
        <is>
          <t>MISCELLANEOUS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6" t="n"/>
      <c r="B48" s="6" t="inlineStr">
        <is>
          <t>Background Checks</t>
        </is>
      </c>
      <c r="C48" s="5" t="n">
        <v>35</v>
      </c>
      <c r="D48" s="5" t="n">
        <v>0</v>
      </c>
      <c r="E48" s="5" t="n">
        <v>0</v>
      </c>
      <c r="F48" s="5" t="n">
        <v>35</v>
      </c>
      <c r="G48" s="5" t="n">
        <v>35</v>
      </c>
      <c r="H48" s="5" t="n">
        <v>35</v>
      </c>
      <c r="I48" s="5" t="n">
        <v>35</v>
      </c>
      <c r="J48" s="5" t="n">
        <v>0</v>
      </c>
      <c r="K48" s="5" t="n">
        <v>0</v>
      </c>
      <c r="L48" s="5" t="n">
        <v>35</v>
      </c>
      <c r="M48" s="5" t="n">
        <v>35</v>
      </c>
      <c r="N48" s="5" t="n">
        <v>0</v>
      </c>
      <c r="O48" s="10">
        <f>SUM(C48:N48)</f>
        <v/>
      </c>
    </row>
    <row r="49">
      <c r="A49" s="4" t="n"/>
      <c r="B49" s="4" t="inlineStr">
        <is>
          <t>Training &amp; Development</t>
        </is>
      </c>
      <c r="C49" s="5" t="n">
        <v>100</v>
      </c>
      <c r="D49" s="5" t="n">
        <v>0</v>
      </c>
      <c r="E49" s="5" t="n">
        <v>0</v>
      </c>
      <c r="F49" s="5" t="n">
        <v>50</v>
      </c>
      <c r="G49" s="5" t="n">
        <v>0</v>
      </c>
      <c r="H49" s="5" t="n">
        <v>0</v>
      </c>
      <c r="I49" s="5" t="n">
        <v>100</v>
      </c>
      <c r="J49" s="5" t="n">
        <v>0</v>
      </c>
      <c r="K49" s="5" t="n">
        <v>0</v>
      </c>
      <c r="L49" s="5" t="n">
        <v>50</v>
      </c>
      <c r="M49" s="5" t="n">
        <v>0</v>
      </c>
      <c r="N49" s="5" t="n">
        <v>0</v>
      </c>
      <c r="O49" s="11">
        <f>SUM(C49:N49)</f>
        <v/>
      </c>
    </row>
    <row r="50">
      <c r="A50" s="6" t="n"/>
      <c r="B50" s="6" t="inlineStr">
        <is>
          <t>Uniforms (new hires)</t>
        </is>
      </c>
      <c r="C50" s="5" t="n">
        <v>50</v>
      </c>
      <c r="D50" s="5" t="n">
        <v>0</v>
      </c>
      <c r="E50" s="5" t="n">
        <v>0</v>
      </c>
      <c r="F50" s="5" t="n">
        <v>50</v>
      </c>
      <c r="G50" s="5" t="n">
        <v>25</v>
      </c>
      <c r="H50" s="5" t="n">
        <v>25</v>
      </c>
      <c r="I50" s="5" t="n">
        <v>50</v>
      </c>
      <c r="J50" s="5" t="n">
        <v>0</v>
      </c>
      <c r="K50" s="5" t="n">
        <v>0</v>
      </c>
      <c r="L50" s="5" t="n">
        <v>50</v>
      </c>
      <c r="M50" s="5" t="n">
        <v>25</v>
      </c>
      <c r="N50" s="5" t="n">
        <v>0</v>
      </c>
      <c r="O50" s="10">
        <f>SUM(C50:N50)</f>
        <v/>
      </c>
    </row>
    <row r="51">
      <c r="A51" s="4" t="n"/>
      <c r="B51" s="4" t="inlineStr">
        <is>
          <t>Contingency/Unexpected</t>
        </is>
      </c>
      <c r="C51" s="5" t="n">
        <v>200</v>
      </c>
      <c r="D51" s="5" t="n">
        <v>200</v>
      </c>
      <c r="E51" s="5" t="n">
        <v>200</v>
      </c>
      <c r="F51" s="5" t="n">
        <v>200</v>
      </c>
      <c r="G51" s="5" t="n">
        <v>200</v>
      </c>
      <c r="H51" s="5" t="n">
        <v>200</v>
      </c>
      <c r="I51" s="5" t="n">
        <v>200</v>
      </c>
      <c r="J51" s="5" t="n">
        <v>200</v>
      </c>
      <c r="K51" s="5" t="n">
        <v>200</v>
      </c>
      <c r="L51" s="5" t="n">
        <v>200</v>
      </c>
      <c r="M51" s="5" t="n">
        <v>200</v>
      </c>
      <c r="N51" s="5" t="n">
        <v>200</v>
      </c>
      <c r="O51" s="11">
        <f>SUM(C51:N51)</f>
        <v/>
      </c>
    </row>
    <row r="52">
      <c r="A52" s="12" t="n"/>
      <c r="B52" s="12" t="inlineStr">
        <is>
          <t>MISCELLANEOUS SUBTOTAL</t>
        </is>
      </c>
      <c r="C52" s="13">
        <f>SUM(C48:C51)</f>
        <v/>
      </c>
      <c r="D52" s="13">
        <f>SUM(D48:D51)</f>
        <v/>
      </c>
      <c r="E52" s="13">
        <f>SUM(E48:E51)</f>
        <v/>
      </c>
      <c r="F52" s="13">
        <f>SUM(F48:F51)</f>
        <v/>
      </c>
      <c r="G52" s="13">
        <f>SUM(G48:G51)</f>
        <v/>
      </c>
      <c r="H52" s="13">
        <f>SUM(H48:H51)</f>
        <v/>
      </c>
      <c r="I52" s="13">
        <f>SUM(I48:I51)</f>
        <v/>
      </c>
      <c r="J52" s="13">
        <f>SUM(J48:J51)</f>
        <v/>
      </c>
      <c r="K52" s="13">
        <f>SUM(K48:K51)</f>
        <v/>
      </c>
      <c r="L52" s="13">
        <f>SUM(L48:L51)</f>
        <v/>
      </c>
      <c r="M52" s="13">
        <f>SUM(M48:M51)</f>
        <v/>
      </c>
      <c r="N52" s="13">
        <f>SUM(N48:N51)</f>
        <v/>
      </c>
      <c r="O52" s="13">
        <f>SUM(C52:N52)</f>
        <v/>
      </c>
    </row>
    <row r="54">
      <c r="A54" s="12" t="inlineStr">
        <is>
          <t>TOTAL MONTHLY OPERATING EXPENSES</t>
        </is>
      </c>
      <c r="B54" s="12" t="n"/>
      <c r="C54" s="13">
        <f>C10+C15+C23+C32+C36+C42+C46+C52</f>
        <v/>
      </c>
      <c r="D54" s="13">
        <f>D10+D15+D23+D32+D36+D42+D46+D52</f>
        <v/>
      </c>
      <c r="E54" s="13">
        <f>E10+E15+E23+E32+E36+E42+E46+E52</f>
        <v/>
      </c>
      <c r="F54" s="13">
        <f>F10+F15+F23+F32+F36+F42+F46+F52</f>
        <v/>
      </c>
      <c r="G54" s="13">
        <f>G10+G15+G23+G32+G36+G42+G46+G52</f>
        <v/>
      </c>
      <c r="H54" s="13">
        <f>H10+H15+H23+H32+H36+H42+H46+H52</f>
        <v/>
      </c>
      <c r="I54" s="13">
        <f>I10+I15+I23+I32+I36+I42+I46+I52</f>
        <v/>
      </c>
      <c r="J54" s="13">
        <f>J10+J15+J23+J32+J36+J42+J46+J52</f>
        <v/>
      </c>
      <c r="K54" s="13">
        <f>K10+K15+K23+K32+K36+K42+K46+K52</f>
        <v/>
      </c>
      <c r="L54" s="13">
        <f>L10+L15+L23+L32+L36+L42+L46+L52</f>
        <v/>
      </c>
      <c r="M54" s="13">
        <f>M10+M15+M23+M32+M36+M42+M46+M52</f>
        <v/>
      </c>
      <c r="N54" s="13">
        <f>N10+N15+N23+N32+N36+N42+N46+N52</f>
        <v/>
      </c>
      <c r="O54" s="13">
        <f>SUM(C54:N54)</f>
        <v/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4A017"/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HAVANA CLEANING — PROFIT &amp; LOSS STATEMENT (YEAR 1)</t>
        </is>
      </c>
    </row>
    <row r="2">
      <c r="A2" s="2" t="inlineStr">
        <is>
          <t>All values auto-calculate from Revenue, Employee, and OpEx sheets.</t>
        </is>
      </c>
    </row>
    <row r="4">
      <c r="A4" s="9" t="inlineStr">
        <is>
          <t>LINE ITEM</t>
        </is>
      </c>
      <c r="B4" s="9" t="inlineStr"/>
      <c r="C4" s="9" t="inlineStr">
        <is>
          <t>M1</t>
        </is>
      </c>
      <c r="D4" s="9" t="inlineStr">
        <is>
          <t>M2</t>
        </is>
      </c>
      <c r="E4" s="9" t="inlineStr">
        <is>
          <t>M3</t>
        </is>
      </c>
      <c r="F4" s="9" t="inlineStr">
        <is>
          <t>M4</t>
        </is>
      </c>
      <c r="G4" s="9" t="inlineStr">
        <is>
          <t>M5</t>
        </is>
      </c>
      <c r="H4" s="9" t="inlineStr">
        <is>
          <t>M6</t>
        </is>
      </c>
      <c r="I4" s="9" t="inlineStr">
        <is>
          <t>M7</t>
        </is>
      </c>
      <c r="J4" s="9" t="inlineStr">
        <is>
          <t>M8</t>
        </is>
      </c>
      <c r="K4" s="9" t="inlineStr">
        <is>
          <t>M9</t>
        </is>
      </c>
      <c r="L4" s="9" t="inlineStr">
        <is>
          <t>M10</t>
        </is>
      </c>
      <c r="M4" s="9" t="inlineStr">
        <is>
          <t>M11</t>
        </is>
      </c>
      <c r="N4" s="9" t="inlineStr">
        <is>
          <t>M12</t>
        </is>
      </c>
      <c r="O4" s="9" t="inlineStr">
        <is>
          <t>ANNUAL</t>
        </is>
      </c>
    </row>
    <row r="5">
      <c r="A5" s="3" t="inlineStr">
        <is>
          <t>REVENUE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6" t="inlineStr">
        <is>
          <t>Total Revenue</t>
        </is>
      </c>
      <c r="B6" s="6" t="n"/>
      <c r="C6" s="10">
        <f>'Revenue Projections'!C29</f>
        <v/>
      </c>
      <c r="D6" s="10">
        <f>'Revenue Projections'!D29</f>
        <v/>
      </c>
      <c r="E6" s="10">
        <f>'Revenue Projections'!E29</f>
        <v/>
      </c>
      <c r="F6" s="10">
        <f>'Revenue Projections'!F29</f>
        <v/>
      </c>
      <c r="G6" s="10">
        <f>'Revenue Projections'!G29</f>
        <v/>
      </c>
      <c r="H6" s="10">
        <f>'Revenue Projections'!H29</f>
        <v/>
      </c>
      <c r="I6" s="10">
        <f>'Revenue Projections'!I29</f>
        <v/>
      </c>
      <c r="J6" s="10">
        <f>'Revenue Projections'!J29</f>
        <v/>
      </c>
      <c r="K6" s="10">
        <f>'Revenue Projections'!K29</f>
        <v/>
      </c>
      <c r="L6" s="10">
        <f>'Revenue Projections'!L29</f>
        <v/>
      </c>
      <c r="M6" s="10">
        <f>'Revenue Projections'!M29</f>
        <v/>
      </c>
      <c r="N6" s="10">
        <f>'Revenue Projections'!N29</f>
        <v/>
      </c>
      <c r="O6" s="18">
        <f>SUM(C6:N6)</f>
        <v/>
      </c>
    </row>
    <row r="8">
      <c r="A8" s="3" t="inlineStr">
        <is>
          <t>COST OF GOODS SOLD (Direct Costs)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4" t="inlineStr">
        <is>
          <t>Direct Labor (all-in)</t>
        </is>
      </c>
      <c r="B9" s="4" t="inlineStr">
        <is>
          <t>From Employee Projections</t>
        </is>
      </c>
      <c r="C9" s="11">
        <f>'Employee Projections'!C23</f>
        <v/>
      </c>
      <c r="D9" s="11">
        <f>'Employee Projections'!D23</f>
        <v/>
      </c>
      <c r="E9" s="11">
        <f>'Employee Projections'!E23</f>
        <v/>
      </c>
      <c r="F9" s="11">
        <f>'Employee Projections'!F23</f>
        <v/>
      </c>
      <c r="G9" s="11">
        <f>'Employee Projections'!G23</f>
        <v/>
      </c>
      <c r="H9" s="11">
        <f>'Employee Projections'!H23</f>
        <v/>
      </c>
      <c r="I9" s="11">
        <f>'Employee Projections'!I23</f>
        <v/>
      </c>
      <c r="J9" s="11">
        <f>'Employee Projections'!J23</f>
        <v/>
      </c>
      <c r="K9" s="11">
        <f>'Employee Projections'!K23</f>
        <v/>
      </c>
      <c r="L9" s="11">
        <f>'Employee Projections'!L23</f>
        <v/>
      </c>
      <c r="M9" s="11">
        <f>'Employee Projections'!M23</f>
        <v/>
      </c>
      <c r="N9" s="11">
        <f>'Employee Projections'!N23</f>
        <v/>
      </c>
      <c r="O9" s="11">
        <f>SUM(C9:N9)</f>
        <v/>
      </c>
    </row>
    <row r="10">
      <c r="A10" s="6" t="inlineStr">
        <is>
          <t>Cleaning Supplies</t>
        </is>
      </c>
      <c r="B10" s="6" t="n"/>
      <c r="C10" s="10">
        <f>'Monthly Supply Costs'!D27</f>
        <v/>
      </c>
      <c r="D10" s="10">
        <f>'Monthly Supply Costs'!D27</f>
        <v/>
      </c>
      <c r="E10" s="10">
        <f>'Monthly Supply Costs'!D27</f>
        <v/>
      </c>
      <c r="F10" s="10">
        <f>'Monthly Supply Costs'!D27</f>
        <v/>
      </c>
      <c r="G10" s="10">
        <f>'Monthly Supply Costs'!D27</f>
        <v/>
      </c>
      <c r="H10" s="10">
        <f>'Monthly Supply Costs'!D27</f>
        <v/>
      </c>
      <c r="I10" s="10">
        <f>'Monthly Supply Costs'!D27</f>
        <v/>
      </c>
      <c r="J10" s="10">
        <f>'Monthly Supply Costs'!D27</f>
        <v/>
      </c>
      <c r="K10" s="10">
        <f>'Monthly Supply Costs'!D27</f>
        <v/>
      </c>
      <c r="L10" s="10">
        <f>'Monthly Supply Costs'!D27</f>
        <v/>
      </c>
      <c r="M10" s="10">
        <f>'Monthly Supply Costs'!D27</f>
        <v/>
      </c>
      <c r="N10" s="10">
        <f>'Monthly Supply Costs'!D27</f>
        <v/>
      </c>
      <c r="O10" s="10">
        <f>SUM(C10:N10)</f>
        <v/>
      </c>
    </row>
    <row r="11">
      <c r="A11" s="4" t="inlineStr">
        <is>
          <t>Vehicle Fuel</t>
        </is>
      </c>
      <c r="B11" s="4" t="n"/>
      <c r="C11" s="11">
        <f>'Inputs'!$B$36*'Inputs'!$B$25</f>
        <v/>
      </c>
      <c r="D11" s="11">
        <f>'Inputs'!$B$36*'Inputs'!$B$25</f>
        <v/>
      </c>
      <c r="E11" s="11">
        <f>'Inputs'!$B$36*'Inputs'!$B$25</f>
        <v/>
      </c>
      <c r="F11" s="11">
        <f>'Inputs'!$B$36*'Inputs'!$B$25</f>
        <v/>
      </c>
      <c r="G11" s="11">
        <f>'Inputs'!$B$36*'Inputs'!$B$25</f>
        <v/>
      </c>
      <c r="H11" s="11">
        <f>'Inputs'!$B$36*'Inputs'!$B$25</f>
        <v/>
      </c>
      <c r="I11" s="11">
        <f>'Inputs'!$B$36*'Inputs'!$B$25</f>
        <v/>
      </c>
      <c r="J11" s="11">
        <f>'Inputs'!$B$36*'Inputs'!$B$25</f>
        <v/>
      </c>
      <c r="K11" s="11">
        <f>'Inputs'!$B$36*'Inputs'!$B$25</f>
        <v/>
      </c>
      <c r="L11" s="11">
        <f>'Inputs'!$B$36*'Inputs'!$B$25</f>
        <v/>
      </c>
      <c r="M11" s="11">
        <f>'Inputs'!$B$36*'Inputs'!$B$25</f>
        <v/>
      </c>
      <c r="N11" s="11">
        <f>'Inputs'!$B$36*'Inputs'!$B$25</f>
        <v/>
      </c>
      <c r="O11" s="11">
        <f>SUM(C11:N11)</f>
        <v/>
      </c>
    </row>
    <row r="12">
      <c r="A12" s="12" t="inlineStr">
        <is>
          <t>TOTAL COGS</t>
        </is>
      </c>
      <c r="B12" s="12" t="n"/>
      <c r="C12" s="13">
        <f>C9+C10+C11</f>
        <v/>
      </c>
      <c r="D12" s="13">
        <f>D9+D10+D11</f>
        <v/>
      </c>
      <c r="E12" s="13">
        <f>E9+E10+E11</f>
        <v/>
      </c>
      <c r="F12" s="13">
        <f>F9+F10+F11</f>
        <v/>
      </c>
      <c r="G12" s="13">
        <f>G9+G10+G11</f>
        <v/>
      </c>
      <c r="H12" s="13">
        <f>H9+H10+H11</f>
        <v/>
      </c>
      <c r="I12" s="13">
        <f>I9+I10+I11</f>
        <v/>
      </c>
      <c r="J12" s="13">
        <f>J9+J10+J11</f>
        <v/>
      </c>
      <c r="K12" s="13">
        <f>K9+K10+K11</f>
        <v/>
      </c>
      <c r="L12" s="13">
        <f>L9+L10+L11</f>
        <v/>
      </c>
      <c r="M12" s="13">
        <f>M9+M10+M11</f>
        <v/>
      </c>
      <c r="N12" s="13">
        <f>N9+N10+N11</f>
        <v/>
      </c>
      <c r="O12" s="13">
        <f>SUM(C12:N12)</f>
        <v/>
      </c>
    </row>
    <row r="13">
      <c r="A13" s="12" t="inlineStr">
        <is>
          <t>GROSS PROFIT</t>
        </is>
      </c>
      <c r="B13" s="12" t="n"/>
      <c r="C13" s="13">
        <f>C6-C12</f>
        <v/>
      </c>
      <c r="D13" s="13">
        <f>D6-D12</f>
        <v/>
      </c>
      <c r="E13" s="13">
        <f>E6-E12</f>
        <v/>
      </c>
      <c r="F13" s="13">
        <f>F6-F12</f>
        <v/>
      </c>
      <c r="G13" s="13">
        <f>G6-G12</f>
        <v/>
      </c>
      <c r="H13" s="13">
        <f>H6-H12</f>
        <v/>
      </c>
      <c r="I13" s="13">
        <f>I6-I12</f>
        <v/>
      </c>
      <c r="J13" s="13">
        <f>J6-J12</f>
        <v/>
      </c>
      <c r="K13" s="13">
        <f>K6-K12</f>
        <v/>
      </c>
      <c r="L13" s="13">
        <f>L6-L12</f>
        <v/>
      </c>
      <c r="M13" s="13">
        <f>M6-M12</f>
        <v/>
      </c>
      <c r="N13" s="13">
        <f>N6-N12</f>
        <v/>
      </c>
      <c r="O13" s="13">
        <f>SUM(C13:N13)</f>
        <v/>
      </c>
    </row>
    <row r="14">
      <c r="A14" s="6" t="inlineStr">
        <is>
          <t>Gross Margin %</t>
        </is>
      </c>
      <c r="B14" s="6" t="n"/>
      <c r="C14" s="19">
        <f>IF(C6=0,0,C13/C6)</f>
        <v/>
      </c>
      <c r="D14" s="19">
        <f>IF(D6=0,0,D13/D6)</f>
        <v/>
      </c>
      <c r="E14" s="19">
        <f>IF(E6=0,0,E13/E6)</f>
        <v/>
      </c>
      <c r="F14" s="19">
        <f>IF(F6=0,0,F13/F6)</f>
        <v/>
      </c>
      <c r="G14" s="19">
        <f>IF(G6=0,0,G13/G6)</f>
        <v/>
      </c>
      <c r="H14" s="19">
        <f>IF(H6=0,0,H13/H6)</f>
        <v/>
      </c>
      <c r="I14" s="19">
        <f>IF(I6=0,0,I13/I6)</f>
        <v/>
      </c>
      <c r="J14" s="19">
        <f>IF(J6=0,0,J13/J6)</f>
        <v/>
      </c>
      <c r="K14" s="19">
        <f>IF(K6=0,0,K13/K6)</f>
        <v/>
      </c>
      <c r="L14" s="19">
        <f>IF(L6=0,0,L13/L6)</f>
        <v/>
      </c>
      <c r="M14" s="19">
        <f>IF(M6=0,0,M13/M6)</f>
        <v/>
      </c>
      <c r="N14" s="19">
        <f>IF(N6=0,0,N13/N6)</f>
        <v/>
      </c>
      <c r="O14" s="19">
        <f>IF(O6=0,0,O13/O6)</f>
        <v/>
      </c>
    </row>
    <row r="16">
      <c r="A16" s="3" t="inlineStr">
        <is>
          <t>OPERATING EXPENSES (SG&amp;A)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4" t="inlineStr">
        <is>
          <t>Total Operating Expenses</t>
        </is>
      </c>
      <c r="B17" s="4" t="inlineStr">
        <is>
          <t>From OpEx sheet</t>
        </is>
      </c>
      <c r="C17" s="11">
        <f>'Operating Expenses'!C54</f>
        <v/>
      </c>
      <c r="D17" s="11">
        <f>'Operating Expenses'!D54</f>
        <v/>
      </c>
      <c r="E17" s="11">
        <f>'Operating Expenses'!E54</f>
        <v/>
      </c>
      <c r="F17" s="11">
        <f>'Operating Expenses'!F54</f>
        <v/>
      </c>
      <c r="G17" s="11">
        <f>'Operating Expenses'!G54</f>
        <v/>
      </c>
      <c r="H17" s="11">
        <f>'Operating Expenses'!H54</f>
        <v/>
      </c>
      <c r="I17" s="11">
        <f>'Operating Expenses'!I54</f>
        <v/>
      </c>
      <c r="J17" s="11">
        <f>'Operating Expenses'!J54</f>
        <v/>
      </c>
      <c r="K17" s="11">
        <f>'Operating Expenses'!K54</f>
        <v/>
      </c>
      <c r="L17" s="11">
        <f>'Operating Expenses'!L54</f>
        <v/>
      </c>
      <c r="M17" s="11">
        <f>'Operating Expenses'!M54</f>
        <v/>
      </c>
      <c r="N17" s="11">
        <f>'Operating Expenses'!N54</f>
        <v/>
      </c>
      <c r="O17" s="11">
        <f>SUM(C17:N17)</f>
        <v/>
      </c>
    </row>
    <row r="19">
      <c r="A19" s="12" t="inlineStr">
        <is>
          <t>NET OPERATING INCOME</t>
        </is>
      </c>
      <c r="B19" s="12" t="n"/>
      <c r="C19" s="13">
        <f>C13-C17</f>
        <v/>
      </c>
      <c r="D19" s="13">
        <f>D13-D17</f>
        <v/>
      </c>
      <c r="E19" s="13">
        <f>E13-E17</f>
        <v/>
      </c>
      <c r="F19" s="13">
        <f>F13-F17</f>
        <v/>
      </c>
      <c r="G19" s="13">
        <f>G13-G17</f>
        <v/>
      </c>
      <c r="H19" s="13">
        <f>H13-H17</f>
        <v/>
      </c>
      <c r="I19" s="13">
        <f>I13-I17</f>
        <v/>
      </c>
      <c r="J19" s="13">
        <f>J13-J17</f>
        <v/>
      </c>
      <c r="K19" s="13">
        <f>K13-K17</f>
        <v/>
      </c>
      <c r="L19" s="13">
        <f>L13-L17</f>
        <v/>
      </c>
      <c r="M19" s="13">
        <f>M13-M17</f>
        <v/>
      </c>
      <c r="N19" s="13">
        <f>N13-N17</f>
        <v/>
      </c>
      <c r="O19" s="13">
        <f>SUM(C19:N19)</f>
        <v/>
      </c>
    </row>
    <row r="20">
      <c r="A20" s="6" t="inlineStr">
        <is>
          <t>Net Margin %</t>
        </is>
      </c>
      <c r="B20" s="6" t="n"/>
      <c r="C20" s="19">
        <f>IF(C6=0,0,C19/C6)</f>
        <v/>
      </c>
      <c r="D20" s="19">
        <f>IF(D6=0,0,D19/D6)</f>
        <v/>
      </c>
      <c r="E20" s="19">
        <f>IF(E6=0,0,E19/E6)</f>
        <v/>
      </c>
      <c r="F20" s="19">
        <f>IF(F6=0,0,F19/F6)</f>
        <v/>
      </c>
      <c r="G20" s="19">
        <f>IF(G6=0,0,G19/G6)</f>
        <v/>
      </c>
      <c r="H20" s="19">
        <f>IF(H6=0,0,H19/H6)</f>
        <v/>
      </c>
      <c r="I20" s="19">
        <f>IF(I6=0,0,I19/I6)</f>
        <v/>
      </c>
      <c r="J20" s="19">
        <f>IF(J6=0,0,J19/J6)</f>
        <v/>
      </c>
      <c r="K20" s="19">
        <f>IF(K6=0,0,K19/K6)</f>
        <v/>
      </c>
      <c r="L20" s="19">
        <f>IF(L6=0,0,L19/L6)</f>
        <v/>
      </c>
      <c r="M20" s="19">
        <f>IF(M6=0,0,M19/M6)</f>
        <v/>
      </c>
      <c r="N20" s="19">
        <f>IF(N6=0,0,N19/N6)</f>
        <v/>
      </c>
      <c r="O20" s="19">
        <f>IF(O6=0,0,O19/O6)</f>
        <v/>
      </c>
    </row>
    <row r="22">
      <c r="A22" s="12" t="inlineStr">
        <is>
          <t>CUMULATIVE NET INCOME</t>
        </is>
      </c>
      <c r="B22" s="12" t="n"/>
      <c r="C22" s="13">
        <f>C19</f>
        <v/>
      </c>
      <c r="D22" s="13">
        <f>C22+D19</f>
        <v/>
      </c>
      <c r="E22" s="13">
        <f>D22+E19</f>
        <v/>
      </c>
      <c r="F22" s="13">
        <f>E22+F19</f>
        <v/>
      </c>
      <c r="G22" s="13">
        <f>F22+G19</f>
        <v/>
      </c>
      <c r="H22" s="13">
        <f>G22+H19</f>
        <v/>
      </c>
      <c r="I22" s="13">
        <f>H22+I19</f>
        <v/>
      </c>
      <c r="J22" s="13">
        <f>I22+J19</f>
        <v/>
      </c>
      <c r="K22" s="13">
        <f>J22+K19</f>
        <v/>
      </c>
      <c r="L22" s="13">
        <f>K22+L19</f>
        <v/>
      </c>
      <c r="M22" s="13">
        <f>L22+M19</f>
        <v/>
      </c>
      <c r="N22" s="13">
        <f>M22+N19</f>
        <v/>
      </c>
      <c r="O22" s="13">
        <f>N22</f>
        <v/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8B57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HAVANA CLEANING — CASH FLOW PROJECTIONS (YEAR 1)</t>
        </is>
      </c>
    </row>
    <row r="3">
      <c r="A3" s="9" t="inlineStr">
        <is>
          <t>CASH FLOW ITEM</t>
        </is>
      </c>
      <c r="B3" s="9" t="inlineStr"/>
      <c r="C3" s="9" t="inlineStr">
        <is>
          <t>M1</t>
        </is>
      </c>
      <c r="D3" s="9" t="inlineStr">
        <is>
          <t>M2</t>
        </is>
      </c>
      <c r="E3" s="9" t="inlineStr">
        <is>
          <t>M3</t>
        </is>
      </c>
      <c r="F3" s="9" t="inlineStr">
        <is>
          <t>M4</t>
        </is>
      </c>
      <c r="G3" s="9" t="inlineStr">
        <is>
          <t>M5</t>
        </is>
      </c>
      <c r="H3" s="9" t="inlineStr">
        <is>
          <t>M6</t>
        </is>
      </c>
      <c r="I3" s="9" t="inlineStr">
        <is>
          <t>M7</t>
        </is>
      </c>
      <c r="J3" s="9" t="inlineStr">
        <is>
          <t>M8</t>
        </is>
      </c>
      <c r="K3" s="9" t="inlineStr">
        <is>
          <t>M9</t>
        </is>
      </c>
      <c r="L3" s="9" t="inlineStr">
        <is>
          <t>M10</t>
        </is>
      </c>
      <c r="M3" s="9" t="inlineStr">
        <is>
          <t>M11</t>
        </is>
      </c>
      <c r="N3" s="9" t="inlineStr">
        <is>
          <t>M12</t>
        </is>
      </c>
      <c r="O3" s="9" t="inlineStr">
        <is>
          <t>ANNUAL</t>
        </is>
      </c>
    </row>
    <row r="4">
      <c r="A4" s="12" t="inlineStr">
        <is>
          <t>BEGINNING CASH BALANCE</t>
        </is>
      </c>
      <c r="B4" s="12" t="n"/>
      <c r="C4" s="13" t="n">
        <v>0</v>
      </c>
      <c r="D4" s="13">
        <f>C17</f>
        <v/>
      </c>
      <c r="E4" s="13">
        <f>D17</f>
        <v/>
      </c>
      <c r="F4" s="13">
        <f>E17</f>
        <v/>
      </c>
      <c r="G4" s="13">
        <f>F17</f>
        <v/>
      </c>
      <c r="H4" s="13">
        <f>G17</f>
        <v/>
      </c>
      <c r="I4" s="13">
        <f>H17</f>
        <v/>
      </c>
      <c r="J4" s="13">
        <f>I17</f>
        <v/>
      </c>
      <c r="K4" s="13">
        <f>J17</f>
        <v/>
      </c>
      <c r="L4" s="13">
        <f>K17</f>
        <v/>
      </c>
      <c r="M4" s="13">
        <f>L17</f>
        <v/>
      </c>
      <c r="N4" s="13">
        <f>M17</f>
        <v/>
      </c>
      <c r="O4" s="13" t="n"/>
    </row>
    <row r="5">
      <c r="A5" s="3" t="inlineStr">
        <is>
          <t>CASH INFLOWS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6" t="inlineStr"/>
      <c r="B6" s="6" t="inlineStr">
        <is>
          <t>Cash from Services</t>
        </is>
      </c>
      <c r="C6" s="10">
        <f>'Profit &amp; Loss'!C6*'Inputs'!$B$71</f>
        <v/>
      </c>
      <c r="D6" s="10">
        <f>'Profit &amp; Loss'!D6*'Inputs'!$B$71+'Profit &amp; Loss'!C6*'Inputs'!$B$72</f>
        <v/>
      </c>
      <c r="E6" s="10">
        <f>'Profit &amp; Loss'!E6*'Inputs'!$B$71+'Profit &amp; Loss'!D6*'Inputs'!$B$72</f>
        <v/>
      </c>
      <c r="F6" s="10">
        <f>'Profit &amp; Loss'!F6*'Inputs'!$B$71+'Profit &amp; Loss'!E6*'Inputs'!$B$72</f>
        <v/>
      </c>
      <c r="G6" s="10">
        <f>'Profit &amp; Loss'!G6*'Inputs'!$B$71+'Profit &amp; Loss'!F6*'Inputs'!$B$72</f>
        <v/>
      </c>
      <c r="H6" s="10">
        <f>'Profit &amp; Loss'!H6*'Inputs'!$B$71+'Profit &amp; Loss'!G6*'Inputs'!$B$72</f>
        <v/>
      </c>
      <c r="I6" s="10">
        <f>'Profit &amp; Loss'!I6*'Inputs'!$B$71+'Profit &amp; Loss'!H6*'Inputs'!$B$72</f>
        <v/>
      </c>
      <c r="J6" s="10">
        <f>'Profit &amp; Loss'!J6*'Inputs'!$B$71+'Profit &amp; Loss'!I6*'Inputs'!$B$72</f>
        <v/>
      </c>
      <c r="K6" s="10">
        <f>'Profit &amp; Loss'!K6*'Inputs'!$B$71+'Profit &amp; Loss'!J6*'Inputs'!$B$72</f>
        <v/>
      </c>
      <c r="L6" s="10">
        <f>'Profit &amp; Loss'!L6*'Inputs'!$B$71+'Profit &amp; Loss'!K6*'Inputs'!$B$72</f>
        <v/>
      </c>
      <c r="M6" s="10">
        <f>'Profit &amp; Loss'!M6*'Inputs'!$B$71+'Profit &amp; Loss'!L6*'Inputs'!$B$72</f>
        <v/>
      </c>
      <c r="N6" s="10">
        <f>'Profit &amp; Loss'!N6*'Inputs'!$B$71+'Profit &amp; Loss'!M6*'Inputs'!$B$72</f>
        <v/>
      </c>
      <c r="O6" s="10">
        <f>SUM(C6:N6)</f>
        <v/>
      </c>
    </row>
    <row r="7">
      <c r="A7" s="4" t="n"/>
      <c r="B7" s="4" t="inlineStr">
        <is>
          <t>Owner Capital Investment</t>
        </is>
      </c>
      <c r="C7" s="11">
        <f>'Startup Costs'!E100+5000</f>
        <v/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11">
        <f>SUM(C7:N7)</f>
        <v/>
      </c>
    </row>
    <row r="8">
      <c r="A8" s="12" t="inlineStr">
        <is>
          <t>TOTAL CASH INFLOWS</t>
        </is>
      </c>
      <c r="B8" s="12" t="n"/>
      <c r="C8" s="13">
        <f>C6+C7</f>
        <v/>
      </c>
      <c r="D8" s="13">
        <f>D6+D7</f>
        <v/>
      </c>
      <c r="E8" s="13">
        <f>E6+E7</f>
        <v/>
      </c>
      <c r="F8" s="13">
        <f>F6+F7</f>
        <v/>
      </c>
      <c r="G8" s="13">
        <f>G6+G7</f>
        <v/>
      </c>
      <c r="H8" s="13">
        <f>H6+H7</f>
        <v/>
      </c>
      <c r="I8" s="13">
        <f>I6+I7</f>
        <v/>
      </c>
      <c r="J8" s="13">
        <f>J6+J7</f>
        <v/>
      </c>
      <c r="K8" s="13">
        <f>K6+K7</f>
        <v/>
      </c>
      <c r="L8" s="13">
        <f>L6+L7</f>
        <v/>
      </c>
      <c r="M8" s="13">
        <f>M6+M7</f>
        <v/>
      </c>
      <c r="N8" s="13">
        <f>N6+N7</f>
        <v/>
      </c>
      <c r="O8" s="13">
        <f>SUM(C8:N8)</f>
        <v/>
      </c>
    </row>
    <row r="9">
      <c r="A9" s="3" t="inlineStr">
        <is>
          <t>CASH OUTFLOWS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6" t="n"/>
      <c r="B10" s="6" t="inlineStr">
        <is>
          <t>Labor Costs (all-in)</t>
        </is>
      </c>
      <c r="C10" s="10">
        <f>'Profit &amp; Loss'!C9</f>
        <v/>
      </c>
      <c r="D10" s="10">
        <f>'Profit &amp; Loss'!D9</f>
        <v/>
      </c>
      <c r="E10" s="10">
        <f>'Profit &amp; Loss'!E9</f>
        <v/>
      </c>
      <c r="F10" s="10">
        <f>'Profit &amp; Loss'!F9</f>
        <v/>
      </c>
      <c r="G10" s="10">
        <f>'Profit &amp; Loss'!G9</f>
        <v/>
      </c>
      <c r="H10" s="10">
        <f>'Profit &amp; Loss'!H9</f>
        <v/>
      </c>
      <c r="I10" s="10">
        <f>'Profit &amp; Loss'!I9</f>
        <v/>
      </c>
      <c r="J10" s="10">
        <f>'Profit &amp; Loss'!J9</f>
        <v/>
      </c>
      <c r="K10" s="10">
        <f>'Profit &amp; Loss'!K9</f>
        <v/>
      </c>
      <c r="L10" s="10">
        <f>'Profit &amp; Loss'!L9</f>
        <v/>
      </c>
      <c r="M10" s="10">
        <f>'Profit &amp; Loss'!M9</f>
        <v/>
      </c>
      <c r="N10" s="10">
        <f>'Profit &amp; Loss'!N9</f>
        <v/>
      </c>
      <c r="O10" s="10">
        <f>SUM(C10:N10)</f>
        <v/>
      </c>
    </row>
    <row r="11">
      <c r="A11" s="4" t="n"/>
      <c r="B11" s="4" t="inlineStr">
        <is>
          <t>Operating Expenses</t>
        </is>
      </c>
      <c r="C11" s="11">
        <f>'Operating Expenses'!C54</f>
        <v/>
      </c>
      <c r="D11" s="11">
        <f>'Operating Expenses'!D54</f>
        <v/>
      </c>
      <c r="E11" s="11">
        <f>'Operating Expenses'!E54</f>
        <v/>
      </c>
      <c r="F11" s="11">
        <f>'Operating Expenses'!F54</f>
        <v/>
      </c>
      <c r="G11" s="11">
        <f>'Operating Expenses'!G54</f>
        <v/>
      </c>
      <c r="H11" s="11">
        <f>'Operating Expenses'!H54</f>
        <v/>
      </c>
      <c r="I11" s="11">
        <f>'Operating Expenses'!I54</f>
        <v/>
      </c>
      <c r="J11" s="11">
        <f>'Operating Expenses'!J54</f>
        <v/>
      </c>
      <c r="K11" s="11">
        <f>'Operating Expenses'!K54</f>
        <v/>
      </c>
      <c r="L11" s="11">
        <f>'Operating Expenses'!L54</f>
        <v/>
      </c>
      <c r="M11" s="11">
        <f>'Operating Expenses'!M54</f>
        <v/>
      </c>
      <c r="N11" s="11">
        <f>'Operating Expenses'!N54</f>
        <v/>
      </c>
      <c r="O11" s="11">
        <f>SUM(C11:N11)</f>
        <v/>
      </c>
    </row>
    <row r="12">
      <c r="A12" s="6" t="n"/>
      <c r="B12" s="6" t="inlineStr">
        <is>
          <t>Cleaning Supplies</t>
        </is>
      </c>
      <c r="C12" s="10">
        <f>'Monthly Supply Costs'!D27</f>
        <v/>
      </c>
      <c r="D12" s="10">
        <f>'Monthly Supply Costs'!D27</f>
        <v/>
      </c>
      <c r="E12" s="10">
        <f>'Monthly Supply Costs'!D27</f>
        <v/>
      </c>
      <c r="F12" s="10">
        <f>'Monthly Supply Costs'!D27</f>
        <v/>
      </c>
      <c r="G12" s="10">
        <f>'Monthly Supply Costs'!D27</f>
        <v/>
      </c>
      <c r="H12" s="10">
        <f>'Monthly Supply Costs'!D27</f>
        <v/>
      </c>
      <c r="I12" s="10">
        <f>'Monthly Supply Costs'!D27</f>
        <v/>
      </c>
      <c r="J12" s="10">
        <f>'Monthly Supply Costs'!D27</f>
        <v/>
      </c>
      <c r="K12" s="10">
        <f>'Monthly Supply Costs'!D27</f>
        <v/>
      </c>
      <c r="L12" s="10">
        <f>'Monthly Supply Costs'!D27</f>
        <v/>
      </c>
      <c r="M12" s="10">
        <f>'Monthly Supply Costs'!D27</f>
        <v/>
      </c>
      <c r="N12" s="10">
        <f>'Monthly Supply Costs'!D27</f>
        <v/>
      </c>
      <c r="O12" s="10">
        <f>SUM(C12:N12)</f>
        <v/>
      </c>
    </row>
    <row r="13">
      <c r="A13" s="4" t="n"/>
      <c r="B13" s="4" t="inlineStr">
        <is>
          <t>Startup Costs (Month 1)</t>
        </is>
      </c>
      <c r="C13" s="11">
        <f>'Startup Costs'!E100</f>
        <v/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>
        <f>SUM(C13:N13)</f>
        <v/>
      </c>
    </row>
    <row r="14">
      <c r="A14" s="6" t="n"/>
      <c r="B14" s="6" t="inlineStr">
        <is>
          <t>Sales Tax Remittance (quarterly)</t>
        </is>
      </c>
      <c r="C14" s="10" t="n">
        <v>0</v>
      </c>
      <c r="D14" s="10" t="n">
        <v>0</v>
      </c>
      <c r="E14" s="10">
        <f>('Profit &amp; Loss'!C6+'Profit &amp; Loss'!D6+'Profit &amp; Loss'!E6)*'Inputs'!$B$45</f>
        <v/>
      </c>
      <c r="F14" s="10" t="n">
        <v>0</v>
      </c>
      <c r="G14" s="10" t="n">
        <v>0</v>
      </c>
      <c r="H14" s="10">
        <f>('Profit &amp; Loss'!F6+'Profit &amp; Loss'!G6+'Profit &amp; Loss'!H6)*'Inputs'!$B$45</f>
        <v/>
      </c>
      <c r="I14" s="10" t="n">
        <v>0</v>
      </c>
      <c r="J14" s="10" t="n">
        <v>0</v>
      </c>
      <c r="K14" s="10">
        <f>('Profit &amp; Loss'!I6+'Profit &amp; Loss'!J6+'Profit &amp; Loss'!K6)*'Inputs'!$B$45</f>
        <v/>
      </c>
      <c r="L14" s="10" t="n">
        <v>0</v>
      </c>
      <c r="M14" s="10" t="n">
        <v>0</v>
      </c>
      <c r="N14" s="10">
        <f>('Profit &amp; Loss'!L6+'Profit &amp; Loss'!M6+'Profit &amp; Loss'!N6)*'Inputs'!$B$45</f>
        <v/>
      </c>
      <c r="O14" s="10">
        <f>SUM(C14:N14)</f>
        <v/>
      </c>
    </row>
    <row r="15">
      <c r="A15" s="12" t="inlineStr">
        <is>
          <t>TOTAL CASH OUTFLOWS</t>
        </is>
      </c>
      <c r="B15" s="12" t="n"/>
      <c r="C15" s="13">
        <f>C10+C11+C12+C13+C14</f>
        <v/>
      </c>
      <c r="D15" s="13">
        <f>D10+D11+D12+D13+D14</f>
        <v/>
      </c>
      <c r="E15" s="13">
        <f>E10+E11+E12+E13+E14</f>
        <v/>
      </c>
      <c r="F15" s="13">
        <f>F10+F11+F12+F13+F14</f>
        <v/>
      </c>
      <c r="G15" s="13">
        <f>G10+G11+G12+G13+G14</f>
        <v/>
      </c>
      <c r="H15" s="13">
        <f>H10+H11+H12+H13+H14</f>
        <v/>
      </c>
      <c r="I15" s="13">
        <f>I10+I11+I12+I13+I14</f>
        <v/>
      </c>
      <c r="J15" s="13">
        <f>J10+J11+J12+J13+J14</f>
        <v/>
      </c>
      <c r="K15" s="13">
        <f>K10+K11+K12+K13+K14</f>
        <v/>
      </c>
      <c r="L15" s="13">
        <f>L10+L11+L12+L13+L14</f>
        <v/>
      </c>
      <c r="M15" s="13">
        <f>M10+M11+M12+M13+M14</f>
        <v/>
      </c>
      <c r="N15" s="13">
        <f>N10+N11+N12+N13+N14</f>
        <v/>
      </c>
      <c r="O15" s="13">
        <f>SUM(C15:N15)</f>
        <v/>
      </c>
    </row>
    <row r="16">
      <c r="A16" s="12" t="inlineStr">
        <is>
          <t>NET CASH FLOW</t>
        </is>
      </c>
      <c r="B16" s="12" t="n"/>
      <c r="C16" s="13">
        <f>C8-C15</f>
        <v/>
      </c>
      <c r="D16" s="13">
        <f>D8-D15</f>
        <v/>
      </c>
      <c r="E16" s="13">
        <f>E8-E15</f>
        <v/>
      </c>
      <c r="F16" s="13">
        <f>F8-F15</f>
        <v/>
      </c>
      <c r="G16" s="13">
        <f>G8-G15</f>
        <v/>
      </c>
      <c r="H16" s="13">
        <f>H8-H15</f>
        <v/>
      </c>
      <c r="I16" s="13">
        <f>I8-I15</f>
        <v/>
      </c>
      <c r="J16" s="13">
        <f>J8-J15</f>
        <v/>
      </c>
      <c r="K16" s="13">
        <f>K8-K15</f>
        <v/>
      </c>
      <c r="L16" s="13">
        <f>L8-L15</f>
        <v/>
      </c>
      <c r="M16" s="13">
        <f>M8-M15</f>
        <v/>
      </c>
      <c r="N16" s="13">
        <f>N8-N15</f>
        <v/>
      </c>
      <c r="O16" s="13">
        <f>SUM(C16:N16)</f>
        <v/>
      </c>
    </row>
    <row r="17">
      <c r="A17" s="12" t="inlineStr">
        <is>
          <t>ENDING CASH BALANCE</t>
        </is>
      </c>
      <c r="B17" s="12" t="n"/>
      <c r="C17" s="13">
        <f>C4+C16</f>
        <v/>
      </c>
      <c r="D17" s="13">
        <f>D4+D16</f>
        <v/>
      </c>
      <c r="E17" s="13">
        <f>E4+E16</f>
        <v/>
      </c>
      <c r="F17" s="13">
        <f>F4+F16</f>
        <v/>
      </c>
      <c r="G17" s="13">
        <f>G4+G16</f>
        <v/>
      </c>
      <c r="H17" s="13">
        <f>H4+H16</f>
        <v/>
      </c>
      <c r="I17" s="13">
        <f>I4+I16</f>
        <v/>
      </c>
      <c r="J17" s="13">
        <f>J4+J16</f>
        <v/>
      </c>
      <c r="K17" s="13">
        <f>K4+K16</f>
        <v/>
      </c>
      <c r="L17" s="13">
        <f>L4+L16</f>
        <v/>
      </c>
      <c r="M17" s="13">
        <f>M4+M16</f>
        <v/>
      </c>
      <c r="N17" s="13">
        <f>N4+N16</f>
        <v/>
      </c>
      <c r="O17" s="13">
        <f>N17</f>
        <v/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4A017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40" customWidth="1" min="4" max="4"/>
  </cols>
  <sheetData>
    <row r="1">
      <c r="A1" s="1" t="inlineStr">
        <is>
          <t>HAVANA CLEANING — BREAK-EVEN ANALYSIS</t>
        </is>
      </c>
    </row>
    <row r="2">
      <c r="A2" s="2" t="inlineStr">
        <is>
          <t>All calculations reference Inputs and Operating Expenses sheets.</t>
        </is>
      </c>
    </row>
    <row r="4">
      <c r="A4" s="9" t="inlineStr">
        <is>
          <t>COMPONENT</t>
        </is>
      </c>
      <c r="B4" s="9" t="inlineStr">
        <is>
          <t>DESCRIPTION</t>
        </is>
      </c>
      <c r="C4" s="9" t="inlineStr">
        <is>
          <t>MONTHLY AMOUNT</t>
        </is>
      </c>
      <c r="D4" s="9" t="inlineStr">
        <is>
          <t>NOTES</t>
        </is>
      </c>
    </row>
    <row r="5">
      <c r="A5" s="3" t="inlineStr">
        <is>
          <t>MONTHLY FIXED COSTS</t>
        </is>
      </c>
      <c r="B5" s="3" t="n"/>
      <c r="C5" s="3" t="n"/>
      <c r="D5" s="3" t="n"/>
    </row>
    <row r="6">
      <c r="A6" s="6" t="inlineStr">
        <is>
          <t>Base Labor (owner + 1 cleaner)</t>
        </is>
      </c>
      <c r="B6" s="6" t="inlineStr">
        <is>
          <t>Min staffing</t>
        </is>
      </c>
      <c r="C6" s="10">
        <f>'Inputs'!$B$17*'Inputs'!$B$22</f>
        <v/>
      </c>
      <c r="D6" s="6" t="inlineStr">
        <is>
          <t>1 cleaner at entry rate</t>
        </is>
      </c>
    </row>
    <row r="7">
      <c r="A7" s="4" t="inlineStr">
        <is>
          <t>Payroll Taxes on Base Labor</t>
        </is>
      </c>
      <c r="B7" s="4" t="inlineStr">
        <is>
          <t>FICA</t>
        </is>
      </c>
      <c r="C7" s="11">
        <f>C6*'Inputs'!$B$31</f>
        <v/>
      </c>
      <c r="D7" s="4" t="inlineStr">
        <is>
          <t>Applied to cleaner wages</t>
        </is>
      </c>
    </row>
    <row r="8">
      <c r="A8" s="6" t="inlineStr">
        <is>
          <t>Workers Comp on Base Labor</t>
        </is>
      </c>
      <c r="B8" s="6" t="inlineStr">
        <is>
          <t>WC</t>
        </is>
      </c>
      <c r="C8" s="10">
        <f>C6*'Inputs'!$B$32</f>
        <v/>
      </c>
      <c r="D8" s="6" t="inlineStr">
        <is>
          <t>Applied to cleaner wages</t>
        </is>
      </c>
    </row>
    <row r="9">
      <c r="A9" s="4" t="inlineStr">
        <is>
          <t>Benefits (1 FT employee)</t>
        </is>
      </c>
      <c r="B9" s="4" t="inlineStr">
        <is>
          <t>Health stipend</t>
        </is>
      </c>
      <c r="C9" s="11">
        <f>'Inputs'!$B$33</f>
        <v/>
      </c>
      <c r="D9" s="4" t="inlineStr">
        <is>
          <t>Per FT employee</t>
        </is>
      </c>
    </row>
    <row r="10">
      <c r="A10" s="6" t="inlineStr">
        <is>
          <t>Vehicle Insurance</t>
        </is>
      </c>
      <c r="B10" s="6" t="inlineStr">
        <is>
          <t>1 van</t>
        </is>
      </c>
      <c r="C10" s="10">
        <f>'Inputs'!$B$37</f>
        <v/>
      </c>
      <c r="D10" s="6" t="inlineStr">
        <is>
          <t>Monthly premium</t>
        </is>
      </c>
    </row>
    <row r="11">
      <c r="A11" s="4" t="inlineStr">
        <is>
          <t>Vehicle Maintenance</t>
        </is>
      </c>
      <c r="B11" s="4" t="inlineStr">
        <is>
          <t>1 van</t>
        </is>
      </c>
      <c r="C11" s="11">
        <f>'Inputs'!$B$38</f>
        <v/>
      </c>
      <c r="D11" s="4" t="inlineStr">
        <is>
          <t>Monthly avg</t>
        </is>
      </c>
    </row>
    <row r="12">
      <c r="A12" s="6" t="inlineStr">
        <is>
          <t>General Liability Insurance</t>
        </is>
      </c>
      <c r="B12" s="6" t="inlineStr">
        <is>
          <t>Monthly</t>
        </is>
      </c>
      <c r="C12" s="10">
        <f>'Inputs'!$B$48</f>
        <v/>
      </c>
      <c r="D12" s="6" t="inlineStr">
        <is>
          <t>Required</t>
        </is>
      </c>
    </row>
    <row r="13">
      <c r="A13" s="4" t="inlineStr">
        <is>
          <t>Workers Comp Insurance</t>
        </is>
      </c>
      <c r="B13" s="4" t="inlineStr">
        <is>
          <t>Monthly</t>
        </is>
      </c>
      <c r="C13" s="11">
        <f>'Inputs'!$B$49</f>
        <v/>
      </c>
      <c r="D13" s="4" t="inlineStr">
        <is>
          <t>Required</t>
        </is>
      </c>
    </row>
    <row r="14">
      <c r="A14" s="6" t="inlineStr">
        <is>
          <t>Surety Bond</t>
        </is>
      </c>
      <c r="B14" s="6" t="inlineStr">
        <is>
          <t>Monthly</t>
        </is>
      </c>
      <c r="C14" s="10">
        <f>'Inputs'!$B$50</f>
        <v/>
      </c>
      <c r="D14" s="6" t="inlineStr">
        <is>
          <t>Janitorial bond</t>
        </is>
      </c>
    </row>
    <row r="15">
      <c r="A15" s="4" t="inlineStr">
        <is>
          <t>Technology &amp; Software</t>
        </is>
      </c>
      <c r="B15" s="4" t="inlineStr">
        <is>
          <t>Monthly total</t>
        </is>
      </c>
      <c r="C15" s="11">
        <f>'Inputs'!$B$53+'Inputs'!$B$54+'Inputs'!$B$55+'Inputs'!$B$56+'Inputs'!$B$57+'Inputs'!$B$58</f>
        <v/>
      </c>
      <c r="D15" s="4" t="inlineStr">
        <is>
          <t>All subscriptions</t>
        </is>
      </c>
    </row>
    <row r="16">
      <c r="A16" s="6" t="inlineStr">
        <is>
          <t>Office &amp; Admin</t>
        </is>
      </c>
      <c r="B16" s="6" t="inlineStr">
        <is>
          <t>Monthly total</t>
        </is>
      </c>
      <c r="C16" s="10">
        <f>'Inputs'!$B$63+'Inputs'!$B$64+'Inputs'!$B$65+'Inputs'!$B$66</f>
        <v/>
      </c>
      <c r="D16" s="6" t="inlineStr">
        <is>
          <t>Overhead</t>
        </is>
      </c>
    </row>
    <row r="17">
      <c r="A17" s="4" t="inlineStr">
        <is>
          <t>Marketing (minimum)</t>
        </is>
      </c>
      <c r="B17" s="4" t="inlineStr">
        <is>
          <t>Base ad spend</t>
        </is>
      </c>
      <c r="C17" s="5" t="n">
        <v>1200</v>
      </c>
      <c r="D17" s="4" t="inlineStr">
        <is>
          <t>Editable minimum</t>
        </is>
      </c>
    </row>
    <row r="18">
      <c r="A18" s="6" t="inlineStr">
        <is>
          <t>Contingency</t>
        </is>
      </c>
      <c r="B18" s="6" t="inlineStr">
        <is>
          <t>Buffer</t>
        </is>
      </c>
      <c r="C18" s="5" t="n">
        <v>200</v>
      </c>
      <c r="D18" s="6" t="inlineStr">
        <is>
          <t>Editable buffer</t>
        </is>
      </c>
    </row>
    <row r="19">
      <c r="A19" s="12" t="inlineStr">
        <is>
          <t>TOTAL FIXED COSTS / MONTH</t>
        </is>
      </c>
      <c r="B19" s="12" t="n"/>
      <c r="C19" s="13">
        <f>SUM(C6:C18)</f>
        <v/>
      </c>
      <c r="D19" s="12" t="n"/>
    </row>
    <row r="21">
      <c r="A21" s="3" t="inlineStr">
        <is>
          <t>VARIABLE COSTS PER JOB</t>
        </is>
      </c>
      <c r="B21" s="3" t="n"/>
      <c r="C21" s="3" t="n"/>
      <c r="D21" s="3" t="n"/>
    </row>
    <row r="22">
      <c r="A22" s="6" t="inlineStr">
        <is>
          <t>Cleaning Supplies</t>
        </is>
      </c>
      <c r="B22" s="6" t="inlineStr">
        <is>
          <t>Consumables</t>
        </is>
      </c>
      <c r="C22" s="10">
        <f>'Inputs'!$B$43</f>
        <v/>
      </c>
      <c r="D22" s="6" t="inlineStr">
        <is>
          <t>Per standard job</t>
        </is>
      </c>
    </row>
    <row r="23">
      <c r="A23" s="4" t="inlineStr">
        <is>
          <t>Gas/Travel</t>
        </is>
      </c>
      <c r="B23" s="4" t="inlineStr">
        <is>
          <t>Per job portion</t>
        </is>
      </c>
      <c r="C23" s="11">
        <f>'Inputs'!$B$36/3</f>
        <v/>
      </c>
      <c r="D23" s="4" t="inlineStr">
        <is>
          <t>$25/day ÷ 3 jobs/day</t>
        </is>
      </c>
    </row>
    <row r="24">
      <c r="A24" s="6" t="inlineStr">
        <is>
          <t>Stripe Processing</t>
        </is>
      </c>
      <c r="B24" s="6" t="inlineStr">
        <is>
          <t>2.9% + $0.30</t>
        </is>
      </c>
      <c r="C24" s="10">
        <f>150*'Inputs'!$B$59+'Inputs'!$B$60</f>
        <v/>
      </c>
      <c r="D24" s="6" t="inlineStr">
        <is>
          <t>On ~$150 avg job</t>
        </is>
      </c>
    </row>
    <row r="25">
      <c r="A25" s="4" t="inlineStr">
        <is>
          <t>Equipment Wear &amp; Tear</t>
        </is>
      </c>
      <c r="B25" s="4" t="inlineStr">
        <is>
          <t>Amortized</t>
        </is>
      </c>
      <c r="C25" s="5" t="n">
        <v>2</v>
      </c>
      <c r="D25" s="4" t="inlineStr">
        <is>
          <t>Replacement amortization</t>
        </is>
      </c>
    </row>
    <row r="26">
      <c r="A26" s="12" t="inlineStr">
        <is>
          <t>TOTAL VARIABLE COST / JOB</t>
        </is>
      </c>
      <c r="B26" s="12" t="n"/>
      <c r="C26" s="13">
        <f>SUM(C22:C25)</f>
        <v/>
      </c>
      <c r="D26" s="12" t="n"/>
    </row>
    <row r="28">
      <c r="A28" s="3" t="inlineStr">
        <is>
          <t>BREAK-EVEN CALCULATION</t>
        </is>
      </c>
      <c r="B28" s="3" t="n"/>
      <c r="C28" s="3" t="n"/>
      <c r="D28" s="3" t="n"/>
    </row>
    <row r="29">
      <c r="A29" s="4" t="inlineStr">
        <is>
          <t>Avg Revenue per Job</t>
        </is>
      </c>
      <c r="B29" s="4" t="n"/>
      <c r="C29" s="11">
        <f>'Profit &amp; Loss'!O6/'Revenue Projections'!O15</f>
        <v/>
      </c>
      <c r="D29" s="4" t="inlineStr">
        <is>
          <t>Year 1 weighted average</t>
        </is>
      </c>
    </row>
    <row r="30">
      <c r="A30" s="6" t="inlineStr">
        <is>
          <t>Contribution Margin / Job</t>
        </is>
      </c>
      <c r="B30" s="6" t="n"/>
      <c r="C30" s="10">
        <f>C29-C26</f>
        <v/>
      </c>
      <c r="D30" s="6" t="inlineStr">
        <is>
          <t>Revenue - Variable Cost</t>
        </is>
      </c>
    </row>
    <row r="31">
      <c r="A31" s="12" t="inlineStr">
        <is>
          <t>BREAK-EVEN JOBS / MONTH</t>
        </is>
      </c>
      <c r="B31" s="12" t="n"/>
      <c r="C31" s="20">
        <f>C19/C30</f>
        <v/>
      </c>
      <c r="D31" s="12" t="inlineStr">
        <is>
          <t>Fixed Costs ÷ Contribution Margin</t>
        </is>
      </c>
    </row>
    <row r="32">
      <c r="A32" s="12" t="inlineStr">
        <is>
          <t>BREAK-EVEN REVENUE / MONTH</t>
        </is>
      </c>
      <c r="B32" s="12" t="n"/>
      <c r="C32" s="13">
        <f>C31*C29</f>
        <v/>
      </c>
      <c r="D32" s="12" t="n"/>
    </row>
    <row r="33">
      <c r="A33" s="12" t="inlineStr">
        <is>
          <t>BREAK-EVEN JOBS / DAY</t>
        </is>
      </c>
      <c r="B33" s="12" t="n"/>
      <c r="C33" s="20">
        <f>C31/'Inputs'!$B$25</f>
        <v/>
      </c>
      <c r="D33" s="12" t="inlineStr">
        <is>
          <t>Jobs ÷ working days/month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4D3E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HAVANA CLEANING — 3-YEAR FINANCIAL SUMMARY</t>
        </is>
      </c>
    </row>
    <row r="2">
      <c r="A2" s="2" t="inlineStr">
        <is>
          <t>Year 1 from P&amp;L. Years 2-3 auto-scale by growth rates on Inputs sheet.</t>
        </is>
      </c>
    </row>
    <row r="4">
      <c r="A4" s="9" t="inlineStr">
        <is>
          <t>LINE ITEM</t>
        </is>
      </c>
      <c r="B4" s="9" t="inlineStr">
        <is>
          <t>YEAR 1</t>
        </is>
      </c>
      <c r="C4" s="9" t="inlineStr">
        <is>
          <t>YEAR 2</t>
        </is>
      </c>
      <c r="D4" s="9" t="inlineStr">
        <is>
          <t>YEAR 3</t>
        </is>
      </c>
      <c r="E4" s="9" t="inlineStr">
        <is>
          <t>3-YEAR TOTAL</t>
        </is>
      </c>
    </row>
    <row r="5">
      <c r="A5" s="4" t="inlineStr">
        <is>
          <t>Total Revenue</t>
        </is>
      </c>
      <c r="B5" s="11">
        <f>'Profit &amp; Loss'!O6</f>
        <v/>
      </c>
      <c r="C5" s="11">
        <f>B5*(1+'Inputs'!$B$69)</f>
        <v/>
      </c>
      <c r="D5" s="11">
        <f>C5*(1+'Inputs'!$B$70)</f>
        <v/>
      </c>
      <c r="E5" s="11">
        <f>SUM(B5:D5)</f>
        <v/>
      </c>
    </row>
    <row r="6">
      <c r="A6" s="6" t="inlineStr">
        <is>
          <t>Revenue Growth %</t>
        </is>
      </c>
      <c r="B6" s="6" t="inlineStr">
        <is>
          <t>—</t>
        </is>
      </c>
      <c r="C6" s="19">
        <f>'Inputs'!$B$69</f>
        <v/>
      </c>
      <c r="D6" s="19">
        <f>'Inputs'!$B$70</f>
        <v/>
      </c>
      <c r="E6" s="6" t="n"/>
    </row>
    <row r="7">
      <c r="A7" s="4" t="inlineStr">
        <is>
          <t>Total COGS</t>
        </is>
      </c>
      <c r="B7" s="11">
        <f>'Profit &amp; Loss'!O12</f>
        <v/>
      </c>
      <c r="C7" s="11">
        <f>B7/B5*C5*0.95</f>
        <v/>
      </c>
      <c r="D7" s="11">
        <f>C7/C5*D5*0.93</f>
        <v/>
      </c>
      <c r="E7" s="11">
        <f>SUM(B7:D7)</f>
        <v/>
      </c>
    </row>
    <row r="8">
      <c r="A8" s="12" t="inlineStr">
        <is>
          <t>GROSS PROFIT</t>
        </is>
      </c>
      <c r="B8" s="13">
        <f>B5-B7</f>
        <v/>
      </c>
      <c r="C8" s="13">
        <f>C5-C7</f>
        <v/>
      </c>
      <c r="D8" s="13">
        <f>D5-D7</f>
        <v/>
      </c>
      <c r="E8" s="13">
        <f>SUM(B8:D8)</f>
        <v/>
      </c>
    </row>
    <row r="9">
      <c r="A9" s="4" t="inlineStr">
        <is>
          <t>Gross Margin %</t>
        </is>
      </c>
      <c r="B9" s="21">
        <f>IF(B5=0,0,B8/B5)</f>
        <v/>
      </c>
      <c r="C9" s="21">
        <f>IF(C5=0,0,C8/C5)</f>
        <v/>
      </c>
      <c r="D9" s="21">
        <f>IF(D5=0,0,D8/D5)</f>
        <v/>
      </c>
      <c r="E9" s="21" t="n"/>
    </row>
    <row r="10">
      <c r="A10" s="6" t="inlineStr">
        <is>
          <t>Operating Expenses (SG&amp;A)</t>
        </is>
      </c>
      <c r="B10" s="10">
        <f>'Profit &amp; Loss'!O17</f>
        <v/>
      </c>
      <c r="C10" s="10">
        <f>B10*1.3</f>
        <v/>
      </c>
      <c r="D10" s="10">
        <f>C10*1.2</f>
        <v/>
      </c>
      <c r="E10" s="10">
        <f>SUM(B10:D10)</f>
        <v/>
      </c>
    </row>
    <row r="11">
      <c r="A11" s="4" t="inlineStr">
        <is>
          <t>Owner Draw / Salary</t>
        </is>
      </c>
      <c r="B11" s="11">
        <f>'Inputs'!$B$26</f>
        <v/>
      </c>
      <c r="C11" s="11">
        <f>'Inputs'!$B$27</f>
        <v/>
      </c>
      <c r="D11" s="11">
        <f>'Inputs'!$B$28</f>
        <v/>
      </c>
      <c r="E11" s="11">
        <f>SUM(B11:D11)</f>
        <v/>
      </c>
    </row>
    <row r="12">
      <c r="A12" s="12" t="inlineStr">
        <is>
          <t>NET OPERATING INCOME</t>
        </is>
      </c>
      <c r="B12" s="13">
        <f>B8-B10-B11</f>
        <v/>
      </c>
      <c r="C12" s="13">
        <f>C8-C10-C11</f>
        <v/>
      </c>
      <c r="D12" s="13">
        <f>D8-D10-D11</f>
        <v/>
      </c>
      <c r="E12" s="13">
        <f>SUM(B12:D12)</f>
        <v/>
      </c>
    </row>
    <row r="13">
      <c r="A13" s="4" t="inlineStr">
        <is>
          <t>Net Margin %</t>
        </is>
      </c>
      <c r="B13" s="21">
        <f>IF(B5=0,0,B12/B5)</f>
        <v/>
      </c>
      <c r="C13" s="21">
        <f>IF(C5=0,0,C12/C5)</f>
        <v/>
      </c>
      <c r="D13" s="21">
        <f>IF(D5=0,0,D12/D5)</f>
        <v/>
      </c>
      <c r="E13" s="21" t="n"/>
    </row>
    <row r="15">
      <c r="A15" s="12" t="inlineStr">
        <is>
          <t>STARTUP INVESTMENT REQUIRED</t>
        </is>
      </c>
      <c r="B15" s="13">
        <f>'Startup Costs'!E100</f>
        <v/>
      </c>
      <c r="C15" s="12" t="n"/>
      <c r="D15" s="12" t="n"/>
      <c r="E15" s="12" t="n"/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8B57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HAVANA CLEANING — EQUIPMENT &amp; SUPPLY CHECKLIST</t>
        </is>
      </c>
    </row>
    <row r="3">
      <c r="A3" s="9" t="inlineStr">
        <is>
          <t>ITEM</t>
        </is>
      </c>
      <c r="B3" s="9" t="inlineStr">
        <is>
          <t>CATEGORY</t>
        </is>
      </c>
      <c r="C3" s="9" t="inlineStr">
        <is>
          <t>QTY</t>
        </is>
      </c>
      <c r="D3" s="9" t="inlineStr">
        <is>
          <t>UNIT COST</t>
        </is>
      </c>
      <c r="E3" s="9" t="inlineStr">
        <is>
          <t>TOTAL</t>
        </is>
      </c>
      <c r="F3" s="9" t="inlineStr">
        <is>
          <t>REPLACE FREQUENCY</t>
        </is>
      </c>
    </row>
    <row r="4">
      <c r="A4" s="6" t="inlineStr">
        <is>
          <t>Commercial Backpack Vacuum</t>
        </is>
      </c>
      <c r="B4" s="6" t="inlineStr">
        <is>
          <t>Core Equipment</t>
        </is>
      </c>
      <c r="C4" s="8" t="n">
        <v>3</v>
      </c>
      <c r="D4" s="5" t="n">
        <v>350</v>
      </c>
      <c r="E4" s="10">
        <f>C4*D4</f>
        <v/>
      </c>
      <c r="F4" s="6" t="inlineStr">
        <is>
          <t>Every 3-5 years</t>
        </is>
      </c>
    </row>
    <row r="5">
      <c r="A5" s="4" t="inlineStr">
        <is>
          <t>HEPA Filter Vacuum</t>
        </is>
      </c>
      <c r="B5" s="4" t="inlineStr">
        <is>
          <t>Core Equipment</t>
        </is>
      </c>
      <c r="C5" s="8" t="n">
        <v>1</v>
      </c>
      <c r="D5" s="5" t="n">
        <v>450</v>
      </c>
      <c r="E5" s="11">
        <f>C5*D5</f>
        <v/>
      </c>
      <c r="F5" s="4" t="inlineStr">
        <is>
          <t>Every 3-5 years</t>
        </is>
      </c>
    </row>
    <row r="6">
      <c r="A6" s="6" t="inlineStr">
        <is>
          <t>Commercial Mop &amp; Bucket System</t>
        </is>
      </c>
      <c r="B6" s="6" t="inlineStr">
        <is>
          <t>Core Equipment</t>
        </is>
      </c>
      <c r="C6" s="8" t="n">
        <v>3</v>
      </c>
      <c r="D6" s="5" t="n">
        <v>85</v>
      </c>
      <c r="E6" s="10">
        <f>C6*D6</f>
        <v/>
      </c>
      <c r="F6" s="6" t="inlineStr">
        <is>
          <t>Every 2-3 years</t>
        </is>
      </c>
    </row>
    <row r="7">
      <c r="A7" s="4" t="inlineStr">
        <is>
          <t>Microfiber Flat Mop System</t>
        </is>
      </c>
      <c r="B7" s="4" t="inlineStr">
        <is>
          <t>Core Equipment</t>
        </is>
      </c>
      <c r="C7" s="8" t="n">
        <v>3</v>
      </c>
      <c r="D7" s="5" t="n">
        <v>65</v>
      </c>
      <c r="E7" s="11">
        <f>C7*D7</f>
        <v/>
      </c>
      <c r="F7" s="4" t="inlineStr">
        <is>
          <t>Every 1-2 years</t>
        </is>
      </c>
    </row>
    <row r="8">
      <c r="A8" s="6" t="inlineStr">
        <is>
          <t>Steam Cleaner (handheld)</t>
        </is>
      </c>
      <c r="B8" s="6" t="inlineStr">
        <is>
          <t>Core Equipment</t>
        </is>
      </c>
      <c r="C8" s="8" t="n">
        <v>2</v>
      </c>
      <c r="D8" s="5" t="n">
        <v>120</v>
      </c>
      <c r="E8" s="10">
        <f>C8*D8</f>
        <v/>
      </c>
      <c r="F8" s="6" t="inlineStr">
        <is>
          <t>Every 3-4 years</t>
        </is>
      </c>
    </row>
    <row r="9">
      <c r="A9" s="4" t="inlineStr">
        <is>
          <t>Extension Pole (telescoping)</t>
        </is>
      </c>
      <c r="B9" s="4" t="inlineStr">
        <is>
          <t>Core Equipment</t>
        </is>
      </c>
      <c r="C9" s="8" t="n">
        <v>3</v>
      </c>
      <c r="D9" s="5" t="n">
        <v>35</v>
      </c>
      <c r="E9" s="11">
        <f>C9*D9</f>
        <v/>
      </c>
      <c r="F9" s="4" t="inlineStr">
        <is>
          <t>Every 3-5 years</t>
        </is>
      </c>
    </row>
    <row r="10">
      <c r="A10" s="6" t="inlineStr">
        <is>
          <t>Step Ladder (aluminum)</t>
        </is>
      </c>
      <c r="B10" s="6" t="inlineStr">
        <is>
          <t>Core Equipment</t>
        </is>
      </c>
      <c r="C10" s="8" t="n">
        <v>2</v>
      </c>
      <c r="D10" s="5" t="n">
        <v>75</v>
      </c>
      <c r="E10" s="10">
        <f>C10*D10</f>
        <v/>
      </c>
      <c r="F10" s="6" t="inlineStr">
        <is>
          <t>Every 5+ years</t>
        </is>
      </c>
    </row>
    <row r="11">
      <c r="A11" s="4" t="inlineStr">
        <is>
          <t>Wet/Dry Shop Vac</t>
        </is>
      </c>
      <c r="B11" s="4" t="inlineStr">
        <is>
          <t>Core Equipment</t>
        </is>
      </c>
      <c r="C11" s="8" t="n">
        <v>1</v>
      </c>
      <c r="D11" s="5" t="n">
        <v>180</v>
      </c>
      <c r="E11" s="11">
        <f>C11*D11</f>
        <v/>
      </c>
      <c r="F11" s="4" t="inlineStr">
        <is>
          <t>Every 3-5 years</t>
        </is>
      </c>
    </row>
    <row r="12">
      <c r="A12" s="6" t="inlineStr">
        <is>
          <t>Spray Bottles (color-coded)</t>
        </is>
      </c>
      <c r="B12" s="6" t="inlineStr">
        <is>
          <t>Cleaning Tools</t>
        </is>
      </c>
      <c r="C12" s="8" t="n">
        <v>24</v>
      </c>
      <c r="D12" s="5" t="n">
        <v>3</v>
      </c>
      <c r="E12" s="10">
        <f>C12*D12</f>
        <v/>
      </c>
      <c r="F12" s="6" t="inlineStr">
        <is>
          <t>Every 6-12 months</t>
        </is>
      </c>
    </row>
    <row r="13">
      <c r="A13" s="4" t="inlineStr">
        <is>
          <t>Scrub Brush Set</t>
        </is>
      </c>
      <c r="B13" s="4" t="inlineStr">
        <is>
          <t>Cleaning Tools</t>
        </is>
      </c>
      <c r="C13" s="8" t="n">
        <v>4</v>
      </c>
      <c r="D13" s="5" t="n">
        <v>22</v>
      </c>
      <c r="E13" s="11">
        <f>C13*D13</f>
        <v/>
      </c>
      <c r="F13" s="4" t="inlineStr">
        <is>
          <t>Every 6-12 months</t>
        </is>
      </c>
    </row>
    <row r="14">
      <c r="A14" s="6" t="inlineStr">
        <is>
          <t>Squeegee (professional)</t>
        </is>
      </c>
      <c r="B14" s="6" t="inlineStr">
        <is>
          <t>Cleaning Tools</t>
        </is>
      </c>
      <c r="C14" s="8" t="n">
        <v>3</v>
      </c>
      <c r="D14" s="5" t="n">
        <v>28</v>
      </c>
      <c r="E14" s="10">
        <f>C14*D14</f>
        <v/>
      </c>
      <c r="F14" s="6" t="inlineStr">
        <is>
          <t>Every 1-2 years</t>
        </is>
      </c>
    </row>
    <row r="15">
      <c r="A15" s="4" t="inlineStr">
        <is>
          <t>Grout Brush Set</t>
        </is>
      </c>
      <c r="B15" s="4" t="inlineStr">
        <is>
          <t>Cleaning Tools</t>
        </is>
      </c>
      <c r="C15" s="8" t="n">
        <v>4</v>
      </c>
      <c r="D15" s="5" t="n">
        <v>15</v>
      </c>
      <c r="E15" s="11">
        <f>C15*D15</f>
        <v/>
      </c>
      <c r="F15" s="4" t="inlineStr">
        <is>
          <t>Every 6-12 months</t>
        </is>
      </c>
    </row>
    <row r="16">
      <c r="A16" s="6" t="inlineStr">
        <is>
          <t>Detail Brush Kit</t>
        </is>
      </c>
      <c r="B16" s="6" t="inlineStr">
        <is>
          <t>Cleaning Tools</t>
        </is>
      </c>
      <c r="C16" s="8" t="n">
        <v>4</v>
      </c>
      <c r="D16" s="5" t="n">
        <v>18</v>
      </c>
      <c r="E16" s="10">
        <f>C16*D16</f>
        <v/>
      </c>
      <c r="F16" s="6" t="inlineStr">
        <is>
          <t>Every 3-6 months</t>
        </is>
      </c>
    </row>
    <row r="17">
      <c r="A17" s="4" t="inlineStr">
        <is>
          <t>Toilet Brush &amp; Caddy</t>
        </is>
      </c>
      <c r="B17" s="4" t="inlineStr">
        <is>
          <t>Cleaning Tools</t>
        </is>
      </c>
      <c r="C17" s="8" t="n">
        <v>6</v>
      </c>
      <c r="D17" s="5" t="n">
        <v>12</v>
      </c>
      <c r="E17" s="11">
        <f>C17*D17</f>
        <v/>
      </c>
      <c r="F17" s="4" t="inlineStr">
        <is>
          <t>Every 3-6 months</t>
        </is>
      </c>
    </row>
    <row r="18">
      <c r="A18" s="6" t="inlineStr">
        <is>
          <t>Dusting Wand (extendable)</t>
        </is>
      </c>
      <c r="B18" s="6" t="inlineStr">
        <is>
          <t>Cleaning Tools</t>
        </is>
      </c>
      <c r="C18" s="8" t="n">
        <v>4</v>
      </c>
      <c r="D18" s="5" t="n">
        <v>15</v>
      </c>
      <c r="E18" s="10">
        <f>C18*D18</f>
        <v/>
      </c>
      <c r="F18" s="6" t="inlineStr">
        <is>
          <t>Every 6-12 months</t>
        </is>
      </c>
    </row>
    <row r="19">
      <c r="A19" s="4" t="inlineStr">
        <is>
          <t>Broom &amp; Dustpan (commercial)</t>
        </is>
      </c>
      <c r="B19" s="4" t="inlineStr">
        <is>
          <t>Cleaning Tools</t>
        </is>
      </c>
      <c r="C19" s="8" t="n">
        <v>3</v>
      </c>
      <c r="D19" s="5" t="n">
        <v>35</v>
      </c>
      <c r="E19" s="11">
        <f>C19*D19</f>
        <v/>
      </c>
      <c r="F19" s="4" t="inlineStr">
        <is>
          <t>Every 1-2 years</t>
        </is>
      </c>
    </row>
    <row r="20">
      <c r="A20" s="6" t="inlineStr">
        <is>
          <t>Putty Knife/Scraper Set</t>
        </is>
      </c>
      <c r="B20" s="6" t="inlineStr">
        <is>
          <t>Cleaning Tools</t>
        </is>
      </c>
      <c r="C20" s="8" t="n">
        <v>3</v>
      </c>
      <c r="D20" s="5" t="n">
        <v>12</v>
      </c>
      <c r="E20" s="10">
        <f>C20*D20</f>
        <v/>
      </c>
      <c r="F20" s="6" t="inlineStr">
        <is>
          <t>Every 1-2 years</t>
        </is>
      </c>
    </row>
    <row r="21">
      <c r="A21" s="4" t="inlineStr">
        <is>
          <t>Razor Blade Scraper</t>
        </is>
      </c>
      <c r="B21" s="4" t="inlineStr">
        <is>
          <t>Cleaning Tools</t>
        </is>
      </c>
      <c r="C21" s="8" t="n">
        <v>3</v>
      </c>
      <c r="D21" s="5" t="n">
        <v>8</v>
      </c>
      <c r="E21" s="11">
        <f>C21*D21</f>
        <v/>
      </c>
      <c r="F21" s="4" t="inlineStr">
        <is>
          <t>Replace blades monthly</t>
        </is>
      </c>
    </row>
    <row r="22">
      <c r="A22" s="6" t="inlineStr">
        <is>
          <t>Cleaning Caddy/Tote</t>
        </is>
      </c>
      <c r="B22" s="6" t="inlineStr">
        <is>
          <t>Organization</t>
        </is>
      </c>
      <c r="C22" s="8" t="n">
        <v>6</v>
      </c>
      <c r="D22" s="5" t="n">
        <v>25</v>
      </c>
      <c r="E22" s="10">
        <f>C22*D22</f>
        <v/>
      </c>
      <c r="F22" s="6" t="inlineStr">
        <is>
          <t>Every 2-3 years</t>
        </is>
      </c>
    </row>
    <row r="23">
      <c r="A23" s="4" t="inlineStr">
        <is>
          <t>Rolling Utility Cart</t>
        </is>
      </c>
      <c r="B23" s="4" t="inlineStr">
        <is>
          <t>Organization</t>
        </is>
      </c>
      <c r="C23" s="8" t="n">
        <v>2</v>
      </c>
      <c r="D23" s="5" t="n">
        <v>85</v>
      </c>
      <c r="E23" s="11">
        <f>C23*D23</f>
        <v/>
      </c>
      <c r="F23" s="4" t="inlineStr">
        <is>
          <t>Every 3-5 years</t>
        </is>
      </c>
    </row>
    <row r="24">
      <c r="A24" s="6" t="inlineStr">
        <is>
          <t>Rubber Gloves (pairs)</t>
        </is>
      </c>
      <c r="B24" s="6" t="inlineStr">
        <is>
          <t>Safety/PPE</t>
        </is>
      </c>
      <c r="C24" s="8" t="n">
        <v>24</v>
      </c>
      <c r="D24" s="5" t="n">
        <v>8</v>
      </c>
      <c r="E24" s="10">
        <f>C24*D24</f>
        <v/>
      </c>
      <c r="F24" s="6" t="inlineStr">
        <is>
          <t>Monthly</t>
        </is>
      </c>
    </row>
    <row r="25">
      <c r="A25" s="4" t="inlineStr">
        <is>
          <t>Nitrile Gloves (100ct box)</t>
        </is>
      </c>
      <c r="B25" s="4" t="inlineStr">
        <is>
          <t>Safety/PPE</t>
        </is>
      </c>
      <c r="C25" s="8" t="n">
        <v>12</v>
      </c>
      <c r="D25" s="5" t="n">
        <v>11</v>
      </c>
      <c r="E25" s="11">
        <f>C25*D25</f>
        <v/>
      </c>
      <c r="F25" s="4" t="inlineStr">
        <is>
          <t>Monthly</t>
        </is>
      </c>
    </row>
    <row r="26">
      <c r="A26" s="6" t="inlineStr">
        <is>
          <t>Knee Pads (gel)</t>
        </is>
      </c>
      <c r="B26" s="6" t="inlineStr">
        <is>
          <t>Safety/PPE</t>
        </is>
      </c>
      <c r="C26" s="8" t="n">
        <v>6</v>
      </c>
      <c r="D26" s="5" t="n">
        <v>22</v>
      </c>
      <c r="E26" s="10">
        <f>C26*D26</f>
        <v/>
      </c>
      <c r="F26" s="6" t="inlineStr">
        <is>
          <t>Every 6-12 months</t>
        </is>
      </c>
    </row>
    <row r="27">
      <c r="A27" s="4" t="inlineStr">
        <is>
          <t>Safety Glasses</t>
        </is>
      </c>
      <c r="B27" s="4" t="inlineStr">
        <is>
          <t>Safety/PPE</t>
        </is>
      </c>
      <c r="C27" s="8" t="n">
        <v>6</v>
      </c>
      <c r="D27" s="5" t="n">
        <v>8</v>
      </c>
      <c r="E27" s="11">
        <f>C27*D27</f>
        <v/>
      </c>
      <c r="F27" s="4" t="inlineStr">
        <is>
          <t>Every 6-12 months</t>
        </is>
      </c>
    </row>
    <row r="28">
      <c r="A28" s="6" t="inlineStr">
        <is>
          <t>Shoe Covers (100ct box)</t>
        </is>
      </c>
      <c r="B28" s="6" t="inlineStr">
        <is>
          <t>Safety/PPE</t>
        </is>
      </c>
      <c r="C28" s="8" t="n">
        <v>6</v>
      </c>
      <c r="D28" s="5" t="n">
        <v>15</v>
      </c>
      <c r="E28" s="10">
        <f>C28*D28</f>
        <v/>
      </c>
      <c r="F28" s="6" t="inlineStr">
        <is>
          <t>Monthly</t>
        </is>
      </c>
    </row>
    <row r="29">
      <c r="A29" s="4" t="inlineStr">
        <is>
          <t>N95 Masks</t>
        </is>
      </c>
      <c r="B29" s="4" t="inlineStr">
        <is>
          <t>Safety/PPE</t>
        </is>
      </c>
      <c r="C29" s="8" t="n">
        <v>12</v>
      </c>
      <c r="D29" s="5" t="n">
        <v>3</v>
      </c>
      <c r="E29" s="11">
        <f>C29*D29</f>
        <v/>
      </c>
      <c r="F29" s="4" t="inlineStr">
        <is>
          <t>Weekly</t>
        </is>
      </c>
    </row>
    <row r="30">
      <c r="A30" s="6" t="inlineStr">
        <is>
          <t>First Aid Kit</t>
        </is>
      </c>
      <c r="B30" s="6" t="inlineStr">
        <is>
          <t>Safety/PPE</t>
        </is>
      </c>
      <c r="C30" s="8" t="n">
        <v>2</v>
      </c>
      <c r="D30" s="5" t="n">
        <v>45</v>
      </c>
      <c r="E30" s="10">
        <f>C30*D30</f>
        <v/>
      </c>
      <c r="F30" s="6" t="inlineStr">
        <is>
          <t>Restock quarterly</t>
        </is>
      </c>
    </row>
    <row r="31">
      <c r="A31" s="4" t="inlineStr">
        <is>
          <t>Wet Floor Signs</t>
        </is>
      </c>
      <c r="B31" s="4" t="inlineStr">
        <is>
          <t>Safety/PPE</t>
        </is>
      </c>
      <c r="C31" s="8" t="n">
        <v>3</v>
      </c>
      <c r="D31" s="5" t="n">
        <v>12</v>
      </c>
      <c r="E31" s="11">
        <f>C31*D31</f>
        <v/>
      </c>
      <c r="F31" s="4" t="inlineStr">
        <is>
          <t>Every 2+ years</t>
        </is>
      </c>
    </row>
    <row r="32">
      <c r="A32" s="6" t="inlineStr">
        <is>
          <t>Microfiber Cloths (24-pack)</t>
        </is>
      </c>
      <c r="B32" s="6" t="inlineStr">
        <is>
          <t>Textiles</t>
        </is>
      </c>
      <c r="C32" s="8" t="n">
        <v>8</v>
      </c>
      <c r="D32" s="5" t="n">
        <v>22</v>
      </c>
      <c r="E32" s="10">
        <f>C32*D32</f>
        <v/>
      </c>
      <c r="F32" s="6" t="inlineStr">
        <is>
          <t>Every 3-6 months</t>
        </is>
      </c>
    </row>
    <row r="33">
      <c r="A33" s="4" t="inlineStr">
        <is>
          <t>Glass Cloths (lint-free)</t>
        </is>
      </c>
      <c r="B33" s="4" t="inlineStr">
        <is>
          <t>Textiles</t>
        </is>
      </c>
      <c r="C33" s="8" t="n">
        <v>6</v>
      </c>
      <c r="D33" s="5" t="n">
        <v>8</v>
      </c>
      <c r="E33" s="11">
        <f>C33*D33</f>
        <v/>
      </c>
      <c r="F33" s="4" t="inlineStr">
        <is>
          <t>Every 3-6 months</t>
        </is>
      </c>
    </row>
    <row r="34">
      <c r="A34" s="6" t="inlineStr">
        <is>
          <t>Scrub Sponges (12-pack)</t>
        </is>
      </c>
      <c r="B34" s="6" t="inlineStr">
        <is>
          <t>Textiles</t>
        </is>
      </c>
      <c r="C34" s="8" t="n">
        <v>10</v>
      </c>
      <c r="D34" s="5" t="n">
        <v>8</v>
      </c>
      <c r="E34" s="10">
        <f>C34*D34</f>
        <v/>
      </c>
      <c r="F34" s="6" t="inlineStr">
        <is>
          <t>Monthly</t>
        </is>
      </c>
    </row>
    <row r="35">
      <c r="A35" s="4" t="inlineStr">
        <is>
          <t>Magic Eraser Pads (10-pack)</t>
        </is>
      </c>
      <c r="B35" s="4" t="inlineStr">
        <is>
          <t>Textiles</t>
        </is>
      </c>
      <c r="C35" s="8" t="n">
        <v>8</v>
      </c>
      <c r="D35" s="5" t="n">
        <v>12</v>
      </c>
      <c r="E35" s="11">
        <f>C35*D35</f>
        <v/>
      </c>
      <c r="F35" s="4" t="inlineStr">
        <is>
          <t>Monthly</t>
        </is>
      </c>
    </row>
    <row r="36">
      <c r="A36" s="6" t="inlineStr">
        <is>
          <t>Mop Head Refills</t>
        </is>
      </c>
      <c r="B36" s="6" t="inlineStr">
        <is>
          <t>Textiles</t>
        </is>
      </c>
      <c r="C36" s="8" t="n">
        <v>12</v>
      </c>
      <c r="D36" s="5" t="n">
        <v>7.5</v>
      </c>
      <c r="E36" s="10">
        <f>C36*D36</f>
        <v/>
      </c>
      <c r="F36" s="6" t="inlineStr">
        <is>
          <t>Every 2-4 weeks</t>
        </is>
      </c>
    </row>
    <row r="37">
      <c r="A37" s="4" t="inlineStr">
        <is>
          <t>Vacuum Bags/Filters</t>
        </is>
      </c>
      <c r="B37" s="4" t="inlineStr">
        <is>
          <t>Textiles</t>
        </is>
      </c>
      <c r="C37" s="8" t="n">
        <v>6</v>
      </c>
      <c r="D37" s="5" t="n">
        <v>15</v>
      </c>
      <c r="E37" s="11">
        <f>C37*D37</f>
        <v/>
      </c>
      <c r="F37" s="4" t="inlineStr">
        <is>
          <t>Monthly</t>
        </is>
      </c>
    </row>
    <row r="38">
      <c r="A38" s="6" t="inlineStr">
        <is>
          <t>Cargo Van Interior Shelving</t>
        </is>
      </c>
      <c r="B38" s="6" t="inlineStr">
        <is>
          <t>Vehicle</t>
        </is>
      </c>
      <c r="C38" s="8" t="n">
        <v>1</v>
      </c>
      <c r="D38" s="5" t="n">
        <v>650</v>
      </c>
      <c r="E38" s="10">
        <f>C38*D38</f>
        <v/>
      </c>
      <c r="F38" s="6" t="inlineStr">
        <is>
          <t>One-time</t>
        </is>
      </c>
    </row>
    <row r="39">
      <c r="A39" s="4" t="inlineStr">
        <is>
          <t>Magnetic Door Signs</t>
        </is>
      </c>
      <c r="B39" s="4" t="inlineStr">
        <is>
          <t>Vehicle</t>
        </is>
      </c>
      <c r="C39" s="8" t="n">
        <v>2</v>
      </c>
      <c r="D39" s="5" t="n">
        <v>85</v>
      </c>
      <c r="E39" s="11">
        <f>C39*D39</f>
        <v/>
      </c>
      <c r="F39" s="4" t="inlineStr">
        <is>
          <t>Every 2-3 years</t>
        </is>
      </c>
    </row>
    <row r="40">
      <c r="A40" s="6" t="inlineStr">
        <is>
          <t>Vehicle Wrap (full)</t>
        </is>
      </c>
      <c r="B40" s="6" t="inlineStr">
        <is>
          <t>Vehicle</t>
        </is>
      </c>
      <c r="C40" s="8" t="n">
        <v>1</v>
      </c>
      <c r="D40" s="5" t="n">
        <v>2800</v>
      </c>
      <c r="E40" s="10">
        <f>C40*D40</f>
        <v/>
      </c>
      <c r="F40" s="6" t="inlineStr">
        <is>
          <t>Every 3-5 years</t>
        </is>
      </c>
    </row>
    <row r="41">
      <c r="A41" s="4" t="inlineStr">
        <is>
          <t>GPS Tracker</t>
        </is>
      </c>
      <c r="B41" s="4" t="inlineStr">
        <is>
          <t>Vehicle</t>
        </is>
      </c>
      <c r="C41" s="8" t="n">
        <v>1</v>
      </c>
      <c r="D41" s="5" t="n">
        <v>120</v>
      </c>
      <c r="E41" s="11">
        <f>C41*D41</f>
        <v/>
      </c>
      <c r="F41" s="4" t="inlineStr">
        <is>
          <t>Every 3-5 years</t>
        </is>
      </c>
    </row>
    <row r="42">
      <c r="A42" s="6" t="inlineStr">
        <is>
          <t>Dash Camera</t>
        </is>
      </c>
      <c r="B42" s="6" t="inlineStr">
        <is>
          <t>Vehicle</t>
        </is>
      </c>
      <c r="C42" s="8" t="n">
        <v>1</v>
      </c>
      <c r="D42" s="5" t="n">
        <v>150</v>
      </c>
      <c r="E42" s="10">
        <f>C42*D42</f>
        <v/>
      </c>
      <c r="F42" s="6" t="inlineStr">
        <is>
          <t>Every 2-3 years</t>
        </is>
      </c>
    </row>
    <row r="44">
      <c r="A44" s="12" t="inlineStr">
        <is>
          <t>TOTAL EQUIPMENT INVESTMENT</t>
        </is>
      </c>
      <c r="B44" s="12" t="n"/>
      <c r="C44" s="12" t="n"/>
      <c r="D44" s="12" t="n"/>
      <c r="E44" s="13">
        <f>SUM(E4:E42)</f>
        <v/>
      </c>
      <c r="F44" s="12" t="n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4A017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</cols>
  <sheetData>
    <row r="1">
      <c r="A1" s="1" t="inlineStr">
        <is>
          <t>HAVANA CLEANING — KEY PERFORMANCE INDICATORS</t>
        </is>
      </c>
    </row>
    <row r="2">
      <c r="A2" s="2" t="inlineStr">
        <is>
          <t>All KPIs auto-calculate from other sheets.</t>
        </is>
      </c>
    </row>
    <row r="4">
      <c r="A4" s="9" t="inlineStr">
        <is>
          <t>KPI METRIC</t>
        </is>
      </c>
      <c r="B4" s="9" t="inlineStr">
        <is>
          <t>YEAR 1 VALUE</t>
        </is>
      </c>
      <c r="C4" s="9" t="inlineStr">
        <is>
          <t>FORMULA SOURCE</t>
        </is>
      </c>
    </row>
    <row r="5">
      <c r="A5" s="3" t="inlineStr">
        <is>
          <t>FINANCIAL KPIs</t>
        </is>
      </c>
      <c r="B5" s="3" t="n"/>
      <c r="C5" s="3" t="n"/>
    </row>
    <row r="6">
      <c r="A6" s="6" t="inlineStr">
        <is>
          <t>Total Annual Revenue</t>
        </is>
      </c>
      <c r="B6" s="10">
        <f>'Profit &amp; Loss'!O6</f>
        <v/>
      </c>
      <c r="C6" s="6" t="inlineStr">
        <is>
          <t>P&amp;L Annual Revenue</t>
        </is>
      </c>
    </row>
    <row r="7">
      <c r="A7" s="4" t="inlineStr">
        <is>
          <t>Total COGS</t>
        </is>
      </c>
      <c r="B7" s="11">
        <f>'Profit &amp; Loss'!O12</f>
        <v/>
      </c>
      <c r="C7" s="4" t="inlineStr">
        <is>
          <t>P&amp;L Annual COGS</t>
        </is>
      </c>
    </row>
    <row r="8">
      <c r="A8" s="6" t="inlineStr">
        <is>
          <t>Gross Profit</t>
        </is>
      </c>
      <c r="B8" s="10">
        <f>'Profit &amp; Loss'!O13</f>
        <v/>
      </c>
      <c r="C8" s="6" t="inlineStr">
        <is>
          <t>Revenue - COGS</t>
        </is>
      </c>
    </row>
    <row r="9">
      <c r="A9" s="4" t="inlineStr">
        <is>
          <t>Gross Margin %</t>
        </is>
      </c>
      <c r="B9" s="21">
        <f>'Profit &amp; Loss'!O14</f>
        <v/>
      </c>
      <c r="C9" s="4" t="inlineStr">
        <is>
          <t>Gross Profit / Revenue</t>
        </is>
      </c>
    </row>
    <row r="10">
      <c r="A10" s="6" t="inlineStr">
        <is>
          <t>Total Operating Expenses</t>
        </is>
      </c>
      <c r="B10" s="10">
        <f>'Profit &amp; Loss'!O17</f>
        <v/>
      </c>
      <c r="C10" s="6" t="inlineStr">
        <is>
          <t>P&amp;L Annual SG&amp;A</t>
        </is>
      </c>
    </row>
    <row r="11">
      <c r="A11" s="4" t="inlineStr">
        <is>
          <t>Net Operating Income</t>
        </is>
      </c>
      <c r="B11" s="11">
        <f>'Profit &amp; Loss'!O19</f>
        <v/>
      </c>
      <c r="C11" s="4" t="inlineStr">
        <is>
          <t>Gross Profit - OpEx</t>
        </is>
      </c>
    </row>
    <row r="12">
      <c r="A12" s="6" t="inlineStr">
        <is>
          <t>Net Margin %</t>
        </is>
      </c>
      <c r="B12" s="19">
        <f>'Profit &amp; Loss'!O20</f>
        <v/>
      </c>
      <c r="C12" s="6" t="inlineStr">
        <is>
          <t>Net Income / Revenue</t>
        </is>
      </c>
    </row>
    <row r="13">
      <c r="A13" s="4" t="inlineStr">
        <is>
          <t>Ending Cash Balance</t>
        </is>
      </c>
      <c r="B13" s="11">
        <f>'Cash Flow'!N17</f>
        <v/>
      </c>
      <c r="C13" s="4" t="inlineStr">
        <is>
          <t>Cash Flow M12 ending</t>
        </is>
      </c>
    </row>
    <row r="15">
      <c r="A15" s="3" t="inlineStr">
        <is>
          <t>OPERATIONAL KPIs</t>
        </is>
      </c>
      <c r="B15" s="3" t="n"/>
      <c r="C15" s="3" t="n"/>
    </row>
    <row r="16">
      <c r="A16" s="6" t="inlineStr">
        <is>
          <t>Total Jobs Completed (Year 1)</t>
        </is>
      </c>
      <c r="B16" s="16">
        <f>'Revenue Projections'!O15</f>
        <v/>
      </c>
      <c r="C16" s="6" t="inlineStr">
        <is>
          <t>Revenue sheet annual jobs</t>
        </is>
      </c>
    </row>
    <row r="17">
      <c r="A17" s="4" t="inlineStr">
        <is>
          <t>Average Revenue per Job</t>
        </is>
      </c>
      <c r="B17" s="11">
        <f>'Profit &amp; Loss'!O6/'Revenue Projections'!O15</f>
        <v/>
      </c>
      <c r="C17" s="4" t="inlineStr">
        <is>
          <t>Revenue / Total Jobs</t>
        </is>
      </c>
    </row>
    <row r="18">
      <c r="A18" s="6" t="inlineStr">
        <is>
          <t>Jobs per Working Day (avg)</t>
        </is>
      </c>
      <c r="B18" s="22">
        <f>'Revenue Projections'!O15/('Inputs'!$B$25*12)</f>
        <v/>
      </c>
      <c r="C18" s="6" t="inlineStr">
        <is>
          <t>Annual jobs / working days</t>
        </is>
      </c>
    </row>
    <row r="19">
      <c r="A19" s="4" t="inlineStr">
        <is>
          <t>Break-Even Jobs/Month</t>
        </is>
      </c>
      <c r="B19" s="23">
        <f>'Break-Even Analysis'!C31</f>
        <v/>
      </c>
      <c r="C19" s="4" t="inlineStr">
        <is>
          <t>From break-even sheet</t>
        </is>
      </c>
    </row>
    <row r="20">
      <c r="A20" s="6" t="inlineStr">
        <is>
          <t>Break-Even Revenue/Month</t>
        </is>
      </c>
      <c r="B20" s="10">
        <f>'Break-Even Analysis'!C32</f>
        <v/>
      </c>
      <c r="C20" s="6" t="inlineStr">
        <is>
          <t>From break-even sheet</t>
        </is>
      </c>
    </row>
    <row r="21">
      <c r="A21" s="4" t="inlineStr">
        <is>
          <t>Year-End Headcount</t>
        </is>
      </c>
      <c r="B21" s="15">
        <f>'Employee Projections'!N11</f>
        <v/>
      </c>
      <c r="C21" s="4" t="inlineStr">
        <is>
          <t>M12 headcount</t>
        </is>
      </c>
    </row>
    <row r="22">
      <c r="A22" s="6" t="inlineStr">
        <is>
          <t>Revenue per Employee</t>
        </is>
      </c>
      <c r="B22" s="10">
        <f>'Profit &amp; Loss'!O6/'Employee Projections'!N11</f>
        <v/>
      </c>
      <c r="C22" s="6" t="inlineStr">
        <is>
          <t>Revenue / headcount</t>
        </is>
      </c>
    </row>
    <row r="23">
      <c r="A23" s="4" t="inlineStr">
        <is>
          <t>Startup Investment</t>
        </is>
      </c>
      <c r="B23" s="11">
        <f>'Startup Costs'!E100</f>
        <v/>
      </c>
      <c r="C23" s="4" t="inlineStr">
        <is>
          <t>Startup Costs sheet total</t>
        </is>
      </c>
    </row>
    <row r="25">
      <c r="A25" s="3" t="inlineStr">
        <is>
          <t>3-YEAR OUTLOOK</t>
        </is>
      </c>
      <c r="B25" s="3" t="n"/>
      <c r="C25" s="3" t="n"/>
    </row>
    <row r="26">
      <c r="A26" s="6" t="inlineStr">
        <is>
          <t>Year 2 Projected Revenue</t>
        </is>
      </c>
      <c r="B26" s="10">
        <f>'3-Year Summary'!C5</f>
        <v/>
      </c>
      <c r="C26" s="6" t="inlineStr">
        <is>
          <t>Year 1 x (1 + growth rate)</t>
        </is>
      </c>
    </row>
    <row r="27">
      <c r="A27" s="4" t="inlineStr">
        <is>
          <t>Year 3 Projected Revenue</t>
        </is>
      </c>
      <c r="B27" s="11">
        <f>'3-Year Summary'!D5</f>
        <v/>
      </c>
      <c r="C27" s="4" t="inlineStr">
        <is>
          <t>Year 2 x (1 + growth rate)</t>
        </is>
      </c>
    </row>
    <row r="28">
      <c r="A28" s="6" t="inlineStr">
        <is>
          <t>Year 2 Net Income</t>
        </is>
      </c>
      <c r="B28" s="10">
        <f>'3-Year Summary'!C12</f>
        <v/>
      </c>
      <c r="C28" s="6" t="inlineStr">
        <is>
          <t>3-Year Summary</t>
        </is>
      </c>
    </row>
    <row r="29">
      <c r="A29" s="4" t="inlineStr">
        <is>
          <t>Year 3 Net Income</t>
        </is>
      </c>
      <c r="B29" s="11">
        <f>'3-Year Summary'!D12</f>
        <v/>
      </c>
      <c r="C29" s="4" t="inlineStr">
        <is>
          <t>3-Year Summary</t>
        </is>
      </c>
    </row>
    <row r="30">
      <c r="A30" s="6" t="inlineStr">
        <is>
          <t>3-Year Total Revenue</t>
        </is>
      </c>
      <c r="B30" s="10">
        <f>'3-Year Summary'!E5</f>
        <v/>
      </c>
      <c r="C30" s="6" t="inlineStr">
        <is>
          <t>Sum of 3 years</t>
        </is>
      </c>
    </row>
    <row r="31">
      <c r="A31" s="4" t="inlineStr">
        <is>
          <t>3-Year Total Net Income</t>
        </is>
      </c>
      <c r="B31" s="11">
        <f>'3-Year Summary'!E12</f>
        <v/>
      </c>
      <c r="C31" s="4" t="inlineStr">
        <is>
          <t>Sum of 3 years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2026-03-03T20:50:57Z</dcterms:created>
  <dcterms:modified xsi:type="dcterms:W3CDTF">2026-03-03T20:50:57Z</dcterms:modified>
</cp:coreProperties>
</file>